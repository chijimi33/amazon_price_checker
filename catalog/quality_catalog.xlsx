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08d72d033c49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f2e2563d015e4296"/>
    <x:sheet xmlns:r="http://schemas.openxmlformats.org/officeDocument/2006/relationships" name="Search" sheetId="2" r:id="R9bca4a95ab4745f8"/>
    <x:sheet xmlns:r="http://schemas.openxmlformats.org/officeDocument/2006/relationships" name="CPU" sheetId="3" r:id="R064bebbb17b94eae"/>
    <x:sheet xmlns:r="http://schemas.openxmlformats.org/officeDocument/2006/relationships" name="GPU" sheetId="4" r:id="R13ad59a461f04ac2"/>
    <x:sheet xmlns:r="http://schemas.openxmlformats.org/officeDocument/2006/relationships" name="GPUChips" sheetId="19" r:id="R18bdc6a9a77c457c"/>
    <x:sheet xmlns:r="http://schemas.openxmlformats.org/officeDocument/2006/relationships" name="Memory" sheetId="5" r:id="R15353b84f35f4b7f"/>
    <x:sheet xmlns:r="http://schemas.openxmlformats.org/officeDocument/2006/relationships" name="SSD" sheetId="6" r:id="Reea524edaab74799"/>
    <x:sheet xmlns:r="http://schemas.openxmlformats.org/officeDocument/2006/relationships" name="PSU" sheetId="7" r:id="Rccdf6259818b4a20"/>
    <x:sheet xmlns:r="http://schemas.openxmlformats.org/officeDocument/2006/relationships" name="Motherboard" sheetId="8" r:id="R1501ce7f7e194588"/>
    <x:sheet xmlns:r="http://schemas.openxmlformats.org/officeDocument/2006/relationships" name="MotherboardSlots" sheetId="20" r:id="Rdb98a8c8005a491a"/>
    <x:sheet xmlns:r="http://schemas.openxmlformats.org/officeDocument/2006/relationships" name="MotherboardUSB" sheetId="21" r:id="R9da3e4e28f4d42e3"/>
    <x:sheet xmlns:r="http://schemas.openxmlformats.org/officeDocument/2006/relationships" name="Monitor" sheetId="9" r:id="Rbf8f59a4f5ae42da"/>
    <x:sheet xmlns:r="http://schemas.openxmlformats.org/officeDocument/2006/relationships" name="Identifiers" sheetId="10" r:id="R544ba6453865432f"/>
    <x:sheet xmlns:r="http://schemas.openxmlformats.org/officeDocument/2006/relationships" name="Evidence" sheetId="11" r:id="R28c1b05cfa944851"/>
    <x:sheet xmlns:r="http://schemas.openxmlformats.org/officeDocument/2006/relationships" name="Risks" sheetId="12" r:id="R9fbf36e74859477d"/>
    <x:sheet xmlns:r="http://schemas.openxmlformats.org/officeDocument/2006/relationships" name="Profiles" sheetId="13" r:id="Rd7783990c3da4849"/>
    <x:sheet xmlns:r="http://schemas.openxmlformats.org/officeDocument/2006/relationships" name="Rules" sheetId="14" r:id="Ref8f453a343f4885"/>
    <x:sheet xmlns:r="http://schemas.openxmlformats.org/officeDocument/2006/relationships" name="Settings" sheetId="15" r:id="Rf8760a15dd8f4475"/>
    <x:sheet xmlns:r="http://schemas.openxmlformats.org/officeDocument/2006/relationships" name="SheetDefinitions" sheetId="16" r:id="R4cad999d61184f5e"/>
    <x:sheet xmlns:r="http://schemas.openxmlformats.org/officeDocument/2006/relationships" name="FieldDefinitions" sheetId="17" r:id="R377f0df646584653"/>
    <x:sheet xmlns:r="http://schemas.openxmlformats.org/officeDocument/2006/relationships" name="Lists" sheetId="18" r:id="Rb23fb7327e244e9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@"/>
    <x:numFmt numFmtId="201" formatCode="yyyy-mm-dd"/>
    <x:numFmt numFmtId="202" formatCode="#,##0"/>
    <x:numFmt numFmtId="203" formatCode="#,##0.00"/>
    <x:numFmt numFmtId="204" formatCode="0"/>
    <x:numFmt numFmtId="205" formatCode="0.0"/>
    <x:numFmt numFmtId="206" formatCode="0.00"/>
  </x:numFmts>
  <x:fonts count="14">
    <x:font>
      <x:sz val="11"/>
      <x:name val="Carlito"/>
    </x:font>
    <x:font>
      <x:b/>
      <x:sz val="16"/>
      <x:color rgb="FFFFFFFF"/>
      <x:name val="Carlito"/>
    </x:font>
    <x:font>
      <x:sz val="10"/>
      <x:color rgb="FF17365D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8"/>
      <x:color rgb="FFFFFFFF"/>
      <x:name val="Carlito"/>
    </x:font>
    <x:font>
      <x:b/>
      <x:sz val="9"/>
      <x:color rgb="FFFFFFFF"/>
      <x:name val="Carlito"/>
    </x:font>
    <x:font>
      <x:sz val="11"/>
      <x:color rgb="FF1F4E78"/>
      <x:name val="Carlito"/>
    </x:font>
    <x:font>
      <x:sz val="10"/>
      <x:color rgb="FF5B2C6F"/>
      <x:name val="Carlito"/>
    </x:font>
    <x:font>
      <x:sz val="11"/>
      <x:color rgb="FF1F1F1F"/>
      <x:name val="Carlito"/>
    </x:font>
    <x:font>
      <x:sz val="11"/>
      <x:color rgb="FF4B275F"/>
      <x:name val="Carlito"/>
    </x:font>
    <x:font>
      <x:b/>
      <x:sz val="11"/>
      <x:color rgb="FF274E13"/>
      <x:name val="Carlito"/>
    </x:font>
    <x:font>
      <x:b/>
      <x:sz val="11"/>
      <x:color rgb="FF7F6000"/>
      <x:name val="Carlito"/>
    </x:font>
    <x:font>
      <x:sz val="10"/>
      <x:color rgb="FF1F4E78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0F6B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C65911"/>
      </x:patternFill>
    </x:fill>
    <x:fill>
      <x:patternFill patternType="solid">
        <x:fgColor rgb="FF548235"/>
      </x:patternFill>
    </x:fill>
    <x:fill>
      <x:patternFill patternType="solid">
        <x:fgColor rgb="FF7030A0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5B2C6F"/>
      </x:patternFill>
    </x:fill>
    <x:fill>
      <x:patternFill patternType="solid">
        <x:fgColor rgb="FF8064A2"/>
      </x:patternFill>
    </x:fill>
    <x:fill>
      <x:patternFill patternType="solid">
        <x:fgColor rgb="FF147A86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4B275F"/>
      </x:patternFill>
    </x:fill>
    <x:fill>
      <x:patternFill patternType="solid">
        <x:fgColor rgb="FFE4DFEC"/>
      </x:patternFill>
    </x:fill>
    <x:fill>
      <x:patternFill patternType="solid">
        <x:fgColor rgb="FFD9EAD3"/>
      </x:patternFill>
    </x:fill>
    <x:fill>
      <x:patternFill patternType="solid">
        <x:fgColor rgb="FFFFF2CC"/>
      </x:patternFill>
    </x:fill>
    <x:fill>
      <x:patternFill patternType="solid">
        <x:fgColor rgb="FF8064A2"/>
      </x:patternFill>
    </x:fill>
    <x:fill>
      <x:patternFill patternType="solid">
        <x:fgColor rgb="FFE2F0D9"/>
      </x:patternFill>
    </x:fill>
    <x:fill>
      <x:patternFill patternType="solid">
        <x:fgColor rgb="FFFFFFFF"/>
      </x:patternFill>
    </x:fill>
    <x:fill>
      <x:patternFill patternType="solid">
        <x:fgColor rgb="FF008C9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7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19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/>
    <x:xf numFmtId="0" fontId="3" fillId="8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3" borderId="3" xfId="0" applyNumberFormat="1" applyFont="1" applyFill="1" applyBorder="1"/>
    <x:xf numFmtId="0" fontId="0" fillId="3" borderId="5" xfId="0" applyNumberFormat="1" applyFont="1" applyFill="1" applyBorder="1"/>
    <x:xf numFmtId="0" fontId="4" fillId="3" borderId="3" xfId="0" applyNumberFormat="1" applyFont="1" applyFill="1" applyBorder="1"/>
    <x:xf numFmtId="0" fontId="4" fillId="3" borderId="5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horizontal="left"/>
    </x:xf>
    <x:xf numFmtId="0" fontId="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2" fillId="10" borderId="0" xfId="0" applyNumberFormat="1" applyFont="1" applyFill="1" applyBorder="1"/>
    <x:xf numFmtId="0" fontId="2" fillId="10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horizontal="left" wrapText="1"/>
    </x:xf>
    <x:xf numFmtId="0" fontId="2" fillId="10" borderId="0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wrapText="1"/>
    </x:xf>
    <x:xf numFmtId="0" fontId="6" fillId="11" borderId="0" xfId="0" applyNumberFormat="1" applyFont="1" applyFill="1" applyBorder="1" applyAlignment="1">
      <x:alignment horizontal="center" wrapText="1"/>
    </x:xf>
    <x:xf numFmtId="0" fontId="6" fillId="11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0"/>
    </x:xf>
    <x:xf numFmtId="0" fontId="0" fillId="0" borderId="0" xfId="0" applyNumberFormat="1" applyFont="1" applyFill="1" applyBorder="1" applyAlignment="1">
      <x:alignment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0"/>
    </x:xf>
    <x:xf numFmtId="0" fontId="0" fillId="0" borderId="0" xfId="0" applyNumberFormat="1" applyFont="1" applyFill="1" applyBorder="1" applyAlignment="1">
      <x:alignment vertical="top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0" xfId="0" applyNumberFormat="1" applyFont="1" applyFill="1" applyBorder="1" applyAlignment="1">
      <x:alignment vertical="top" wrapText="0"/>
    </x:xf>
    <x:xf numFmtId="201" fontId="0" fillId="0" borderId="0" xfId="0" applyNumberFormat="1" applyFont="1" applyFill="1" applyBorder="1" applyAlignment="1">
      <x:alignment vertical="top" wrapText="0"/>
    </x:xf>
    <x:xf numFmtId="204" fontId="0" fillId="0" borderId="0" xfId="0" applyNumberFormat="1" applyFont="1" applyFill="1" applyBorder="1" applyAlignment="1">
      <x:alignment vertical="top" wrapText="0"/>
    </x:xf>
    <x:xf numFmtId="205" fontId="0" fillId="0" borderId="0" xfId="0" applyNumberFormat="1" applyFont="1" applyFill="1" applyBorder="1" applyAlignment="1">
      <x:alignment vertical="top" wrapText="0"/>
    </x:xf>
    <x:xf numFmtId="202" fontId="0" fillId="0" borderId="0" xfId="0" applyNumberFormat="1" applyFont="1" applyFill="1" applyBorder="1" applyAlignment="1">
      <x:alignment vertical="top" wrapText="0"/>
    </x:xf>
    <x:xf numFmtId="0" fontId="3" fillId="11" borderId="0" xfId="0" applyNumberFormat="1" applyFont="1" applyFill="1" applyBorder="1"/>
    <x:xf numFmtId="0" fontId="3" fillId="11" borderId="0" xfId="0" applyNumberFormat="1" applyFont="1" applyFill="1" applyBorder="1" applyAlignment="1">
      <x:alignment wrapText="1"/>
    </x:xf>
    <x:xf numFmtId="0" fontId="3" fillId="11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5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6" fillId="14" borderId="0" xfId="0" applyNumberFormat="1" applyFont="1" applyFill="1" applyBorder="1"/>
    <x:xf numFmtId="0" fontId="6" fillId="14" borderId="0" xfId="0" applyNumberFormat="1" applyFont="1" applyFill="1" applyBorder="1" applyAlignment="1">
      <x:alignment wrapText="1"/>
    </x:xf>
    <x:xf numFmtId="0" fontId="6" fillId="14" borderId="0" xfId="0" applyNumberFormat="1" applyFont="1" applyFill="1" applyBorder="1" applyAlignment="1">
      <x:alignment horizontal="center" wrapText="1"/>
    </x:xf>
    <x:xf numFmtId="0" fontId="6" fillId="14" borderId="0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 applyAlignment="1">
      <x:alignment vertical="top"/>
    </x:xf>
    <x:xf numFmtId="205" fontId="0" fillId="0" borderId="0" xfId="0" applyNumberFormat="1" applyFont="1" applyFill="1" applyBorder="1" applyAlignment="1">
      <x:alignment vertical="top"/>
    </x:xf>
    <x:xf numFmtId="204" fontId="0" fillId="0" borderId="0" xfId="0" applyNumberFormat="1" applyFont="1" applyFill="1" applyBorder="1" applyAlignment="1">
      <x:alignment vertical="top"/>
    </x:xf>
    <x:xf numFmtId="202" fontId="0" fillId="0" borderId="0" xfId="0" applyNumberFormat="1" applyFont="1" applyFill="1" applyBorder="1" applyAlignment="1">
      <x:alignment vertical="top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5" fillId="15" borderId="0" xfId="0" applyNumberFormat="1" applyFont="1" applyFill="1" applyBorder="1" applyAlignment="1">
      <x:alignment vertical="center"/>
    </x:xf>
    <x:xf numFmtId="0" fontId="8" fillId="13" borderId="0" xfId="0" applyNumberFormat="1" applyFont="1" applyFill="1" applyBorder="1"/>
    <x:xf numFmtId="0" fontId="8" fillId="13" borderId="0" xfId="0" applyNumberFormat="1" applyFont="1" applyFill="1" applyBorder="1" applyAlignment="1">
      <x:alignment wrapText="1"/>
    </x:xf>
    <x:xf numFmtId="0" fontId="8" fillId="13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6" fillId="16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horizontal="center" wrapText="1"/>
    </x:xf>
    <x:xf numFmtId="0" fontId="6" fillId="16" borderId="0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/>
    <x:xf numFmtId="0" fontId="3" fillId="14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/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202" fontId="9" fillId="18" borderId="0" xfId="0" applyNumberFormat="1" applyFont="1" applyFill="1" applyBorder="1"/>
    <x:xf numFmtId="0" fontId="0" fillId="13" borderId="0" xfId="0" applyNumberFormat="1" applyFont="1" applyFill="1" applyBorder="1" applyAlignment="1">
      <x:alignment vertical="top" wrapText="1"/>
    </x:xf>
    <x:xf numFmtId="0" fontId="0" fillId="19" borderId="0" xfId="0" applyNumberFormat="1" applyFont="1" applyFill="1" applyBorder="1"/>
    <x:xf numFmtId="0" fontId="3" fillId="19" borderId="0" xfId="0" applyNumberFormat="1" applyFont="1" applyFill="1" applyBorder="1"/>
    <x:xf numFmtId="0" fontId="3" fillId="19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horizontal="center" wrapText="1"/>
    </x:xf>
    <x:xf numFmtId="0" fontId="3" fillId="19" borderId="0" xfId="0" applyNumberFormat="1" applyFont="1" applyFill="1" applyBorder="1" applyAlignment="1">
      <x:alignment horizontal="center" vertical="center" wrapText="1"/>
    </x:xf>
    <x:xf numFmtId="204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20" borderId="0" xfId="0" applyNumberFormat="1" applyFont="1" applyFill="1" applyBorder="1"/>
    <x:xf numFmtId="0" fontId="3" fillId="20" borderId="0" xfId="0" applyNumberFormat="1" applyFont="1" applyFill="1" applyBorder="1"/>
    <x:xf numFmtId="0" fontId="3" fillId="20" borderId="0" xfId="0" applyNumberFormat="1" applyFont="1" applyFill="1" applyBorder="1" applyAlignment="1">
      <x:alignment horizontal="left"/>
    </x:xf>
    <x:xf numFmtId="0" fontId="3" fillId="20" borderId="0" xfId="0" applyNumberFormat="1" applyFont="1" applyFill="1" applyBorder="1" applyAlignment="1">
      <x:alignment horizontal="left" vertical="center"/>
    </x:xf>
    <x:xf numFmtId="0" fontId="0" fillId="21" borderId="0" xfId="0" applyNumberFormat="1" applyFont="1" applyFill="1" applyBorder="1"/>
    <x:xf numFmtId="0" fontId="10" fillId="21" borderId="0" xfId="0" applyNumberFormat="1" applyFont="1" applyFill="1" applyBorder="1"/>
    <x:xf numFmtId="0" fontId="10" fillId="21" borderId="0" xfId="0" applyNumberFormat="1" applyFont="1" applyFill="1" applyBorder="1" applyAlignment="1">
      <x:alignment wrapText="1"/>
    </x:xf>
    <x:xf numFmtId="0" fontId="10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/>
    <x:xf numFmtId="0" fontId="11" fillId="22" borderId="0" xfId="0" applyNumberFormat="1" applyFont="1" applyFill="1" applyBorder="1"/>
    <x:xf numFmtId="0" fontId="11" fillId="22" borderId="0" xfId="0" applyNumberFormat="1" applyFont="1" applyFill="1" applyBorder="1" applyAlignment="1">
      <x:alignment horizontal="center"/>
    </x:xf>
    <x:xf numFmtId="0" fontId="11" fillId="22" borderId="0" xfId="0" applyNumberFormat="1" applyFont="1" applyFill="1" applyBorder="1" applyAlignment="1">
      <x:alignment horizontal="center" vertical="center"/>
    </x:xf>
    <x:xf numFmtId="0" fontId="0" fillId="23" borderId="0" xfId="0" applyNumberFormat="1" applyFont="1" applyFill="1" applyBorder="1"/>
    <x:xf numFmtId="0" fontId="12" fillId="23" borderId="0" xfId="0" applyNumberFormat="1" applyFont="1" applyFill="1" applyBorder="1"/>
    <x:xf numFmtId="0" fontId="12" fillId="23" borderId="0" xfId="0" applyNumberFormat="1" applyFont="1" applyFill="1" applyBorder="1" applyAlignment="1">
      <x:alignment horizontal="left"/>
    </x:xf>
    <x:xf numFmtId="0" fontId="12" fillId="23" borderId="0" xfId="0" applyNumberFormat="1" applyFont="1" applyFill="1" applyBorder="1" applyAlignment="1">
      <x:alignment horizontal="left" vertical="center"/>
    </x:xf>
    <x:xf numFmtId="0" fontId="0" fillId="24" borderId="0" xfId="0" applyNumberFormat="1" applyFont="1" applyFill="1" applyBorder="1"/>
    <x:xf numFmtId="0" fontId="3" fillId="24" borderId="0" xfId="0" applyNumberFormat="1" applyFont="1" applyFill="1" applyBorder="1"/>
    <x:xf numFmtId="0" fontId="3" fillId="24" borderId="0" xfId="0" applyNumberFormat="1" applyFont="1" applyFill="1" applyBorder="1" applyAlignment="1">
      <x:alignment wrapText="1"/>
    </x:xf>
    <x:xf numFmtId="0" fontId="3" fillId="24" borderId="0" xfId="0" applyNumberFormat="1" applyFont="1" applyFill="1" applyBorder="1" applyAlignment="1">
      <x:alignment horizontal="center" wrapText="1"/>
    </x:xf>
    <x:xf numFmtId="0" fontId="3" fillId="24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25" borderId="0" xfId="0" applyNumberFormat="1" applyFont="1" applyFill="1" applyBorder="1" applyAlignment="1">
      <x:alignment horizontal="center" vertical="center"/>
    </x:xf>
    <x:xf numFmtId="0" fontId="0" fillId="26" borderId="0" xfId="0" applyNumberFormat="1" applyFont="1" applyFill="1" applyBorder="1" applyAlignment="1">
      <x:alignment horizontal="center" vertical="center"/>
    </x:xf>
    <x:xf numFmtId="205" fontId="0" fillId="25" borderId="0" xfId="0" applyNumberFormat="1" applyFont="1" applyFill="1" applyBorder="1" applyAlignment="1">
      <x:alignment horizontal="center" vertical="center"/>
    </x:xf>
    <x:xf numFmtId="205" fontId="0" fillId="26" borderId="0" xfId="0" applyNumberFormat="1" applyFont="1" applyFill="1" applyBorder="1" applyAlignment="1">
      <x:alignment horizontal="center" vertical="center"/>
    </x:xf>
    <x:xf numFmtId="204" fontId="0" fillId="25" borderId="0" xfId="0" applyNumberFormat="1" applyFont="1" applyFill="1" applyBorder="1" applyAlignment="1">
      <x:alignment horizontal="center" vertical="center"/>
    </x:xf>
    <x:xf numFmtId="204" fontId="0" fillId="26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3" fillId="27" borderId="0" xfId="0" applyNumberFormat="1" applyFont="1" applyFill="1" applyBorder="1"/>
    <x:xf numFmtId="0" fontId="3" fillId="27" borderId="0" xfId="0" applyNumberFormat="1" applyFont="1" applyFill="1" applyBorder="1" applyAlignment="1">
      <x:alignment wrapText="1"/>
    </x:xf>
    <x:xf numFmtId="0" fontId="3" fillId="27" borderId="0" xfId="0" applyNumberFormat="1" applyFont="1" applyFill="1" applyBorder="1" applyAlignment="1">
      <x:alignment horizontal="center" wrapText="1"/>
    </x:xf>
    <x:xf numFmtId="0" fontId="3" fillId="27" borderId="0" xfId="0" applyNumberFormat="1" applyFont="1" applyFill="1" applyBorder="1" applyAlignment="1">
      <x:alignment horizontal="center" vertical="center" wrapText="1"/>
    </x:xf>
    <x:xf numFmtId="0" fontId="0" fillId="25" borderId="0" xfId="0" applyNumberFormat="1" applyFont="1" applyFill="1" applyBorder="1"/>
    <x:xf numFmtId="0" fontId="0" fillId="25" borderId="0" xfId="0" applyNumberFormat="1" applyFont="1" applyFill="1" applyBorder="1" applyAlignment="1">
      <x:alignment vertical="center"/>
    </x:xf>
    <x:xf numFmtId="205" fontId="0" fillId="25" borderId="0" xfId="0" applyNumberFormat="1" applyFont="1" applyFill="1" applyBorder="1" applyAlignment="1">
      <x:alignment vertical="center"/>
    </x:xf>
    <x:xf numFmtId="0" fontId="1" fillId="28" borderId="0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3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left" vertical="center"/>
    </x:xf>
    <x:xf numFmtId="0" fontId="3" fillId="28" borderId="0" xfId="0" applyNumberFormat="1" applyFont="1" applyFill="1" applyBorder="1" applyAlignment="1">
      <x:alignment horizontal="left"/>
    </x:xf>
    <x:xf numFmtId="0" fontId="3" fillId="28" borderId="0" xfId="0" applyNumberFormat="1" applyFont="1" applyFill="1" applyBorder="1" applyAlignment="1">
      <x:alignment horizontal="left" vertical="center"/>
    </x:xf>
    <x:xf numFmtId="0" fontId="2" fillId="29" borderId="0" xfId="0" applyNumberFormat="1" applyFont="1" applyFill="1" applyBorder="1" applyAlignment="1">
      <x:alignment vertical="center" wrapText="1"/>
    </x:xf>
    <x:xf numFmtId="0" fontId="0" fillId="29" borderId="0" xfId="0" applyNumberFormat="1" applyFont="1" applyFill="1" applyBorder="1"/>
    <x:xf numFmtId="0" fontId="13" fillId="29" borderId="0" xfId="0" applyNumberFormat="1" applyFont="1" applyFill="1" applyBorder="1" applyAlignment="1">
      <x:alignment vertical="center" wrapText="1"/>
    </x:xf>
    <x:xf numFmtId="0" fontId="7" fillId="29" borderId="0" xfId="0" applyNumberFormat="1" applyFont="1" applyFill="1" applyBorder="1"/>
    <x:xf numFmtId="0" fontId="7" fillId="29" borderId="0" xfId="0" applyNumberFormat="1" applyFont="1" applyFill="1" applyBorder="1" applyAlignment="1">
      <x:alignment wrapText="1"/>
    </x:xf>
    <x:xf numFmtId="0" fontId="7" fillId="29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6" fontId="0" fillId="0" borderId="0" xfId="0" applyNumberFormat="1" applyFont="1" applyFill="1" applyBorder="1" applyAlignment="1">
      <x:alignment vertical="top" wrapText="1"/>
    </x:xf>
    <x:xf numFmtId="204" fontId="0" fillId="0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206" fontId="0" fillId="0" borderId="0" xfId="0" applyNumberFormat="1" applyFont="1" applyFill="1" applyBorder="1" applyAlignment="1">
      <x:alignment horizontal="center" vertical="top" wrapText="1"/>
    </x:xf>
    <x:xf numFmtId="204" fontId="0" fillId="0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21"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9bca0a26df4587" /><Relationship Type="http://schemas.openxmlformats.org/officeDocument/2006/relationships/theme" Target="/xl/theme/theme1.xml" Id="R45c2e1cb0dc14238" /><Relationship Type="http://schemas.microsoft.com/office/2022/11/relationships/FeaturePropertyBag" Target="/xl/featurePropertyBag/featurePropertyBag.xml" Id="R0d4a03e342564dce" /><Relationship Type="http://schemas.openxmlformats.org/officeDocument/2006/relationships/sharedStrings" Target="/xl/sharedStrings.xml" Id="R702978846b6749f7" /><Relationship Type="http://schemas.openxmlformats.org/officeDocument/2006/relationships/worksheet" Target="/xl/worksheets/sheet1.xml" Id="Rf2e2563d015e4296" /><Relationship Type="http://schemas.openxmlformats.org/officeDocument/2006/relationships/worksheet" Target="/xl/worksheets/sheet2.xml" Id="R9bca4a95ab4745f8" /><Relationship Type="http://schemas.openxmlformats.org/officeDocument/2006/relationships/worksheet" Target="/xl/worksheets/sheet3.xml" Id="R064bebbb17b94eae" /><Relationship Type="http://schemas.openxmlformats.org/officeDocument/2006/relationships/worksheet" Target="/xl/worksheets/sheet4.xml" Id="R13ad59a461f04ac2" /><Relationship Type="http://schemas.openxmlformats.org/officeDocument/2006/relationships/worksheet" Target="/xl/worksheets/sheet5.xml" Id="R18bdc6a9a77c457c" /><Relationship Type="http://schemas.openxmlformats.org/officeDocument/2006/relationships/worksheet" Target="/xl/worksheets/sheet6.xml" Id="R15353b84f35f4b7f" /><Relationship Type="http://schemas.openxmlformats.org/officeDocument/2006/relationships/worksheet" Target="/xl/worksheets/sheet7.xml" Id="Reea524edaab74799" /><Relationship Type="http://schemas.openxmlformats.org/officeDocument/2006/relationships/worksheet" Target="/xl/worksheets/sheet8.xml" Id="Rccdf6259818b4a20" /><Relationship Type="http://schemas.openxmlformats.org/officeDocument/2006/relationships/worksheet" Target="/xl/worksheets/sheet9.xml" Id="R1501ce7f7e194588" /><Relationship Type="http://schemas.openxmlformats.org/officeDocument/2006/relationships/worksheet" Target="/xl/worksheets/sheet10.xml" Id="Rdb98a8c8005a491a" /><Relationship Type="http://schemas.openxmlformats.org/officeDocument/2006/relationships/worksheet" Target="/xl/worksheets/sheet11.xml" Id="R9da3e4e28f4d42e3" /><Relationship Type="http://schemas.openxmlformats.org/officeDocument/2006/relationships/worksheet" Target="/xl/worksheets/sheet12.xml" Id="Rbf8f59a4f5ae42da" /><Relationship Type="http://schemas.openxmlformats.org/officeDocument/2006/relationships/worksheet" Target="/xl/worksheets/sheet13.xml" Id="R544ba6453865432f" /><Relationship Type="http://schemas.openxmlformats.org/officeDocument/2006/relationships/worksheet" Target="/xl/worksheets/sheet14.xml" Id="R28c1b05cfa944851" /><Relationship Type="http://schemas.openxmlformats.org/officeDocument/2006/relationships/worksheet" Target="/xl/worksheets/sheet15.xml" Id="R9fbf36e74859477d" /><Relationship Type="http://schemas.openxmlformats.org/officeDocument/2006/relationships/worksheet" Target="/xl/worksheets/sheet16.xml" Id="Rd7783990c3da4849" /><Relationship Type="http://schemas.openxmlformats.org/officeDocument/2006/relationships/worksheet" Target="/xl/worksheets/sheet17.xml" Id="Ref8f453a343f4885" /><Relationship Type="http://schemas.openxmlformats.org/officeDocument/2006/relationships/worksheet" Target="/xl/worksheets/sheet18.xml" Id="Rf8760a15dd8f4475" /><Relationship Type="http://schemas.openxmlformats.org/officeDocument/2006/relationships/worksheet" Target="/xl/worksheets/sheet19.xml" Id="R4cad999d61184f5e" /><Relationship Type="http://schemas.openxmlformats.org/officeDocument/2006/relationships/worksheet" Target="/xl/worksheets/sheet20.xml" Id="R377f0df646584653" /><Relationship Type="http://schemas.openxmlformats.org/officeDocument/2006/relationships/worksheet" Target="/xl/worksheets/sheet21.xml" Id="Rb23fb7327e244e9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7" name="CPUCatalog" displayName="CPUCatalog" ref="A4:AN136" headerRowCount="1" totalsRowCount="0" totalsRowShown="0">
  <x:autoFilter ref="A4:AN136"/>
  <x:tableColumns count="40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ocket"/>
    <x:tableColumn id="19" name="cores"/>
    <x:tableColumn id="20" name="threads"/>
    <x:tableColumn id="21" name="architecture"/>
    <x:tableColumn id="22" name="boost_clock_ghz"/>
    <x:tableColumn id="23" name="tdp_w"/>
    <x:tableColumn id="24" name="retail_package"/>
    <x:tableColumn id="25" name="cache_specialized_for_gaming"/>
    <x:tableColumn id="26" name="integrated_graphics"/>
    <x:tableColumn id="27" name="cooling_requirement_class"/>
    <x:tableColumn id="28" name="platform_support_years_remaining"/>
    <x:tableColumn id="29" name="warranty_years"/>
    <x:tableColumn id="30" name="release_date"/>
    <x:tableColumn id="31" name="launch_period"/>
    <x:tableColumn id="32" name="release_date_precision"/>
    <x:tableColumn id="33" name="series"/>
    <x:tableColumn id="34" name="generation"/>
    <x:tableColumn id="35" name="performance_cores"/>
    <x:tableColumn id="36" name="efficiency_cores"/>
    <x:tableColumn id="37" name="total_cache_mb"/>
    <x:tableColumn id="38" name="passmark_cpu_mark"/>
    <x:tableColumn id="39" name="passmark_single_thread_mark"/>
    <x:tableColumn id="40" name="passmark_checked_a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0" name="GPUCatalog" displayName="GPUCatalog" ref="A4:AH104" headerRowCount="1" totalsRowCount="0" totalsRowShown="0">
  <x:tableColumns count="34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gpu_chip_id"/>
    <x:tableColumn id="19" name="board_series"/>
    <x:tableColumn id="20" name="board_model"/>
    <x:tableColumn id="21" name="revision"/>
    <x:tableColumn id="22" name="cooler_design_id"/>
    <x:tableColumn id="23" name="factory_oc"/>
    <x:tableColumn id="24" name="reference_design"/>
    <x:tableColumn id="25" name="domestic_distributor"/>
    <x:tableColumn id="26" name="domestic_warranty_years"/>
    <x:tableColumn id="27" name="cooler_noise_class"/>
    <x:tableColumn id="28" name="fan_count"/>
    <x:tableColumn id="29" name="slot_width"/>
    <x:tableColumn id="30" name="power_connector_standard"/>
    <x:tableColumn id="31" name="cooler_quality_tier"/>
    <x:tableColumn id="32" name="length_mm"/>
    <x:tableColumn id="33" name="tdp_w"/>
    <x:tableColumn id="34" name="release_da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1" name="GPUChipsCatalog" displayName="GPUChipsCatalog" ref="A4:Y87" headerRowCount="1" totalsRowCount="0" totalsRowShown="0">
  <x:tableColumns count="25">
    <x:tableColumn id="1" name="product_id"/>
    <x:tableColumn id="2" name="brand"/>
    <x:tableColumn id="3" name="model"/>
    <x:tableColumn id="4" name="display_name"/>
    <x:tableColumn id="5" name="aliases"/>
    <x:tableColumn id="6" name="status"/>
    <x:tableColumn id="7" name="tier"/>
    <x:tableColumn id="8" name="reviewed_at"/>
    <x:tableColumn id="9" name="quality_summary"/>
    <x:tableColumn id="10" name="strengths"/>
    <x:tableColumn id="11" name="weaknesses"/>
    <x:tableColumn id="12" name="risk_summary"/>
    <x:tableColumn id="13" name="notes"/>
    <x:tableColumn id="14" name="architecture"/>
    <x:tableColumn id="15" name="generation"/>
    <x:tableColumn id="16" name="release_date"/>
    <x:tableColumn id="17" name="launch_period"/>
    <x:tableColumn id="18" name="release_date_precision"/>
    <x:tableColumn id="19" name="vram_gb"/>
    <x:tableColumn id="20" name="memory_type"/>
    <x:tableColumn id="21" name="memory_bus_bits"/>
    <x:tableColumn id="22" name="passmark_g3d_mark"/>
    <x:tableColumn id="23" name="passmark_g2d_mark"/>
    <x:tableColumn id="24" name="benchmark_reported_tdp_w"/>
    <x:tableColumn id="25" name="passmark_checked_at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25" name="MemoryCatalog" displayName="MemoryCatalog" ref="A4:AB24" headerRowCount="1" totalsRowCount="0" totalsRowShown="0">
  <x:tableColumns count="28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memory_type"/>
    <x:tableColumn id="19" name="total_capacity_gb"/>
    <x:tableColumn id="20" name="module_count"/>
    <x:tableColumn id="21" name="data_rate_mt_s"/>
    <x:tableColumn id="22" name="expo"/>
    <x:tableColumn id="23" name="cas_latency"/>
    <x:tableColumn id="24" name="module_height_mm"/>
    <x:tableColumn id="25" name="warranty_class"/>
    <x:tableColumn id="26" name="voltage_v"/>
    <x:tableColumn id="27" name="chip_type"/>
    <x:tableColumn id="28" name="default_data_rate_mt_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7" name="SSDCatalog" displayName="SSDCatalog" ref="A4:AD24" headerRowCount="1" totalsRowCount="0" totalsRowShown="0">
  <x:autoFilter ref="A4:AD24"/>
  <x:tableColumns count="30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capacity_gb"/>
    <x:tableColumn id="19" name="form_factor"/>
    <x:tableColumn id="20" name="interface_generation"/>
    <x:tableColumn id="21" name="nand_type"/>
    <x:tableColumn id="22" name="dram_cache"/>
    <x:tableColumn id="23" name="sustained_write_class"/>
    <x:tableColumn id="24" name="tbw_tb"/>
    <x:tableColumn id="25" name="warranty_years"/>
    <x:tableColumn id="26" name="component_consistency"/>
    <x:tableColumn id="27" name="controller"/>
    <x:tableColumn id="28" name="sequential_read_mbps"/>
    <x:tableColumn id="29" name="sequential_write_mbps"/>
    <x:tableColumn id="30" name="heatsink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8" name="PSUCatalog" displayName="PSUCatalog" ref="A4:AB24" headerRowCount="1" totalsRowCount="0" totalsRowShown="0">
  <x:autoFilter ref="A4:AB24"/>
  <x:tableColumns count="28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wattage"/>
    <x:tableColumn id="19" name="atx_version"/>
    <x:tableColumn id="20" name="native_12v2x6"/>
    <x:tableColumn id="21" name="warranty_years"/>
    <x:tableColumn id="22" name="protection_set_complete"/>
    <x:tableColumn id="23" name="efficiency_230v_tier"/>
    <x:tableColumn id="24" name="noise_tier"/>
    <x:tableColumn id="25" name="electrical_performance_tier"/>
    <x:tableColumn id="26" name="form_factor"/>
    <x:tableColumn id="27" name="length_mm"/>
    <x:tableColumn id="28" name="modular_typ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27" name="MotherboardCatalog" displayName="MotherboardCatalog" ref="A4:BO34" headerRowCount="1" totalsRowCount="0" totalsRowShown="0">
  <x:autoFilter ref="A4:BO34"/>
  <x:tableColumns count="67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release_date"/>
    <x:tableColumn id="19" name="launch_period"/>
    <x:tableColumn id="20" name="release_date_precision"/>
    <x:tableColumn id="21" name="board_revision"/>
    <x:tableColumn id="22" name="socket"/>
    <x:tableColumn id="23" name="chipset"/>
    <x:tableColumn id="24" name="memory_type"/>
    <x:tableColumn id="25" name="form_factor"/>
    <x:tableColumn id="26" name="cpu_support_scope"/>
    <x:tableColumn id="27" name="memory_slots"/>
    <x:tableColumn id="28" name="max_memory_gb"/>
    <x:tableColumn id="29" name="jedec_max_mt_s"/>
    <x:tableColumn id="30" name="memory_oc_max_mt_s"/>
    <x:tableColumn id="31" name="memory_profile_support"/>
    <x:tableColumn id="32" name="ecc_support"/>
    <x:tableColumn id="33" name="vrm_design"/>
    <x:tableColumn id="34" name="power_stage_rating_a"/>
    <x:tableColumn id="35" name="eps_connectors"/>
    <x:tableColumn id="36" name="vrm_sustained_cpu_class"/>
    <x:tableColumn id="37" name="primary_pcie_generation"/>
    <x:tableColumn id="38" name="primary_pcie_lanes"/>
    <x:tableColumn id="39" name="pcie_x16_physical_slots"/>
    <x:tableColumn id="40" name="m2_slots"/>
    <x:tableColumn id="41" name="pcie5_m2_slots"/>
    <x:tableColumn id="42" name="sata_ports"/>
    <x:tableColumn id="43" name="m2_heatsink_slots"/>
    <x:tableColumn id="44" name="lane_sharing_severity"/>
    <x:tableColumn id="45" name="lan_speed_gbps"/>
    <x:tableColumn id="46" name="lan_controller"/>
    <x:tableColumn id="47" name="wifi_generation"/>
    <x:tableColumn id="48" name="wifi_controller"/>
    <x:tableColumn id="49" name="bluetooth_version"/>
    <x:tableColumn id="50" name="audio_codec"/>
    <x:tableColumn id="51" name="rear_usb_total_count"/>
    <x:tableColumn id="52" name="rear_usb_type_a_count"/>
    <x:tableColumn id="53" name="rear_usb_type_c_count"/>
    <x:tableColumn id="54" name="rear_usb_fastest_gbps"/>
    <x:tableColumn id="55" name="rear_usb4_type_c_count"/>
    <x:tableColumn id="56" name="rear_usb_official_summary"/>
    <x:tableColumn id="57" name="front_usb_c_header_count"/>
    <x:tableColumn id="58" name="front_usb_c_max_speed_gbps"/>
    <x:tableColumn id="59" name="bios_flashback"/>
    <x:tableColumn id="60" name="clear_cmos_button"/>
    <x:tableColumn id="61" name="dual_bios"/>
    <x:tableColumn id="62" name="debug_features"/>
    <x:tableColumn id="63" name="fan_headers_total"/>
    <x:tableColumn id="64" name="pump_capable_headers"/>
    <x:tableColumn id="65" name="pcb_layers"/>
    <x:tableColumn id="66" name="domestic_distributor"/>
    <x:tableColumn id="67" name="domestic_warranty_year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28" name="MotherboardSlotsCatalog" displayName="MotherboardSlotsCatalog" ref="A4:M111" headerRowCount="1" totalsRowCount="0" totalsRowShown="0">
  <x:autoFilter ref="A4:M111"/>
  <x:tableColumns count="13">
    <x:tableColumn id="1" name="slot_record_id"/>
    <x:tableColumn id="2" name="product_id"/>
    <x:tableColumn id="3" name="slot_name"/>
    <x:tableColumn id="4" name="slot_type"/>
    <x:tableColumn id="5" name="interface_generation"/>
    <x:tableColumn id="6" name="lane_width"/>
    <x:tableColumn id="7" name="connected_to"/>
    <x:tableColumn id="8" name="supported_sizes"/>
    <x:tableColumn id="9" name="heatsink"/>
    <x:tableColumn id="10" name="shared_with"/>
    <x:tableColumn id="11" name="sharing_effect"/>
    <x:tableColumn id="12" name="availability_condition"/>
    <x:tableColumn id="13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29" name="MotherboardUSBCatalog" displayName="MotherboardUSBCatalog" ref="A4:J104" headerRowCount="1" totalsRowCount="0" totalsRowShown="0">
  <x:autoFilter ref="A4:J104"/>
  <x:tableColumns count="10">
    <x:tableColumn id="1" name="usb_record_id"/>
    <x:tableColumn id="2" name="product_id"/>
    <x:tableColumn id="3" name="location"/>
    <x:tableColumn id="4" name="official_standard"/>
    <x:tableColumn id="5" name="usb_max_speed_gbps"/>
    <x:tableColumn id="6" name="connector_type"/>
    <x:tableColumn id="7" name="port_count"/>
    <x:tableColumn id="8" name="alternate_protocols"/>
    <x:tableColumn id="9" name="features"/>
    <x:tableColumn id="10" name="no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MonitorCatalog" displayName="MonitorCatalog" ref="A4:AE24" headerRowCount="1" totalsRowCount="0" totalsRowShown="0">
  <x:autoFilter ref="A4:AE24"/>
  <x:tableColumns count="31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ize_inch"/>
    <x:tableColumn id="19" name="resolution"/>
    <x:tableColumn id="20" name="max_refresh_hz"/>
    <x:tableColumn id="21" name="vrr"/>
    <x:tableColumn id="22" name="measured_response_reviewed"/>
    <x:tableColumn id="23" name="average_response_ms"/>
    <x:tableColumn id="24" name="overshoot_class"/>
    <x:tableColumn id="25" name="brightness_nits"/>
    <x:tableColumn id="26" name="height_adjustment"/>
    <x:tableColumn id="27" name="warranty_years"/>
    <x:tableColumn id="28" name="panel_type"/>
    <x:tableColumn id="29" name="contrast_ratio"/>
    <x:tableColumn id="30" name="color_gamut"/>
    <x:tableColumn id="31" name="input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IdentifiersCatalog" displayName="IdentifiersCatalog" ref="A4:G44" headerRowCount="1" totalsRowCount="0" totalsRowShown="0">
  <x:autoFilter ref="A4:G44"/>
  <x:tableColumns count="7">
    <x:tableColumn id="1" name="product_id"/>
    <x:tableColumn id="2" name="identifier_type"/>
    <x:tableColumn id="3" name="identifier_value"/>
    <x:tableColumn id="4" name="region"/>
    <x:tableColumn id="5" name="condition"/>
    <x:tableColumn id="6" name="is_primary"/>
    <x:tableColumn id="7" name="no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31" name="EvidenceCatalog" displayName="EvidenceCatalog" ref="A4:I456" headerRowCount="1" totalsRowCount="0" totalsRowShown="0">
  <x:autoFilter ref="A4:I456"/>
  <x:tableColumns count="9">
    <x:tableColumn id="1" name="evidence_id"/>
    <x:tableColumn id="2" name="product_id"/>
    <x:tableColumn id="3" name="kind"/>
    <x:tableColumn id="4" name="title"/>
    <x:tableColumn id="5" name="url"/>
    <x:tableColumn id="6" name="checked_at"/>
    <x:tableColumn id="7" name="supports"/>
    <x:tableColumn id="8" name="reviewer"/>
    <x:tableColumn id="9" name="no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32" name="RisksCatalog" displayName="RisksCatalog" ref="A4:K44" headerRowCount="1" totalsRowCount="0" totalsRowShown="0">
  <x:autoFilter ref="A4:K44"/>
  <x:tableColumns count="11">
    <x:tableColumn id="1" name="risk_id"/>
    <x:tableColumn id="2" name="product_id"/>
    <x:tableColumn id="3" name="risk_flag"/>
    <x:tableColumn id="4" name="severity"/>
    <x:tableColumn id="5" name="status"/>
    <x:tableColumn id="6" name="summary"/>
    <x:tableColumn id="7" name="workaround"/>
    <x:tableColumn id="8" name="evidence_id"/>
    <x:tableColumn id="9" name="first_checked_at"/>
    <x:tableColumn id="10" name="last_checked_at"/>
    <x:tableColumn id="11" name="no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5" name="ProfilesCatalog" displayName="ProfilesCatalog" ref="A4:K21" headerRowCount="1" totalsRowCount="0" totalsRowShown="0">
  <x:autoFilter ref="A4:K21"/>
  <x:tableColumns count="11">
    <x:tableColumn id="1" name="profile_id"/>
    <x:tableColumn id="2" name="category"/>
    <x:tableColumn id="3" name="name"/>
    <x:tableColumn id="4" name="description"/>
    <x:tableColumn id="5" name="minimum_evidence_count"/>
    <x:tableColumn id="6" name="required_evidence_kinds"/>
    <x:tableColumn id="7" name="forbidden_risk_flags"/>
    <x:tableColumn id="8" name="minimum_tier"/>
    <x:tableColumn id="9" name="max_review_age_days"/>
    <x:tableColumn id="10" name="allowed_statuses"/>
    <x:tableColumn id="11" name="enabled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6" name="RulesCatalog" displayName="RulesCatalog" ref="A4:H85" headerRowCount="1" totalsRowCount="0" totalsRowShown="0">
  <x:autoFilter ref="A4:H85"/>
  <x:tableColumns count="8">
    <x:tableColumn id="1" name="profile_id"/>
    <x:tableColumn id="2" name="rule_type"/>
    <x:tableColumn id="3" name="path"/>
    <x:tableColumn id="4" name="op"/>
    <x:tableColumn id="5" name="value_json"/>
    <x:tableColumn id="6" name="weight"/>
    <x:tableColumn id="7" name="label"/>
    <x:tableColumn id="8" name="enabled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4" name="SettingsCatalog" displayName="SettingsCatalog" ref="A4:C11" headerRowCount="1" totalsRowCount="0" totalsRowShown="0">
  <x:autoFilter ref="A4:C11"/>
  <x:tableColumns count="3">
    <x:tableColumn id="1" name="key"/>
    <x:tableColumn id="2" name="value_json"/>
    <x:tableColumn id="3" name="description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22" name="SheetDefinitionsCatalog" displayName="SheetDefinitionsCatalog" ref="A4:F17" headerRowCount="1" totalsRowCount="0" totalsRowShown="0">
  <x:tableColumns count="6">
    <x:tableColumn id="1" name="sheet_name"/>
    <x:tableColumn id="2" name="category"/>
    <x:tableColumn id="3" name="table_name"/>
    <x:tableColumn id="4" name="header_row"/>
    <x:tableColumn id="5" name="enabled"/>
    <x:tableColumn id="6" name="description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30" name="FieldDefinitionsCatalog" displayName="FieldDefinitionsCatalog" ref="A4:I317" headerRowCount="1" totalsRowCount="0" totalsRowShown="0">
  <x:autoFilter ref="A4:I317"/>
  <x:tableColumns count="9">
    <x:tableColumn id="1" name="sheet_name"/>
    <x:tableColumn id="2" name="column_name"/>
    <x:tableColumn id="3" name="json_path"/>
    <x:tableColumn id="4" name="data_type"/>
    <x:tableColumn id="5" name="required"/>
    <x:tableColumn id="6" name="description"/>
    <x:tableColumn id="7" name="unit"/>
    <x:tableColumn id="8" name="list_name"/>
    <x:tableColumn id="9" name="active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26" name="ListsCatalog" displayName="ListsCatalog" ref="A4:AT15" headerRowCount="1" totalsRowCount="0" totalsRowShown="0">
  <x:tableColumns count="46">
    <x:tableColumn id="1" name="QualityStatus"/>
    <x:tableColumn id="2" name="Tier"/>
    <x:tableColumn id="3" name="Boolean"/>
    <x:tableColumn id="4" name="EvidenceKind"/>
    <x:tableColumn id="5" name="RiskSeverity"/>
    <x:tableColumn id="6" name="RiskStatus"/>
    <x:tableColumn id="7" name="DataType"/>
    <x:tableColumn id="8" name="RuleType"/>
    <x:tableColumn id="9" name="Operator"/>
    <x:tableColumn id="10" name="Category"/>
    <x:tableColumn id="11" name="IdentifierType"/>
    <x:tableColumn id="12" name="Condition"/>
    <x:tableColumn id="13" name="Region"/>
    <x:tableColumn id="14" name="Socket"/>
    <x:tableColumn id="15" name="CoolingClass"/>
    <x:tableColumn id="16" name="CoolerNoise"/>
    <x:tableColumn id="17" name="CoolerTier"/>
    <x:tableColumn id="18" name="PowerConnector"/>
    <x:tableColumn id="19" name="MemoryType"/>
    <x:tableColumn id="20" name="WarrantyClass"/>
    <x:tableColumn id="21" name="SsdFormFactor"/>
    <x:tableColumn id="22" name="NandType"/>
    <x:tableColumn id="23" name="SustainedWriteClass"/>
    <x:tableColumn id="24" name="ComponentConsistency"/>
    <x:tableColumn id="25" name="AtxVersion"/>
    <x:tableColumn id="26" name="EfficiencyTier"/>
    <x:tableColumn id="27" name="NoiseTier"/>
    <x:tableColumn id="28" name="ElectricalTier"/>
    <x:tableColumn id="29" name="PsuFormFactor"/>
    <x:tableColumn id="30" name="ModularType"/>
    <x:tableColumn id="31" name="BoardFormFactor"/>
    <x:tableColumn id="32" name="VrmClass"/>
    <x:tableColumn id="33" name="LaneSeverity"/>
    <x:tableColumn id="34" name="Resolution"/>
    <x:tableColumn id="35" name="OvershootClass"/>
    <x:tableColumn id="36" name="PanelType"/>
    <x:tableColumn id="37" name="GPUPerformanceClass"/>
    <x:tableColumn id="38" name="MinRelativeIndex"/>
    <x:tableColumn id="39" name="ReleasePrecision"/>
    <x:tableColumn id="40" name="SlotType"/>
    <x:tableColumn id="41" name="SlotConnectedTo"/>
    <x:tableColumn id="42" name="USBLocation"/>
    <x:tableColumn id="43" name="USBConnector"/>
    <x:tableColumn id="44" name="WiFiGeneration"/>
    <x:tableColumn id="45" name="EccSupport"/>
    <x:tableColumn id="46" name="MemoryProfile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f9b623b58d1e4c0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b024faa162fe430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9e350eb4aefa445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d754d90ed2e64cf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df63b98b6c2e4b8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7a290d4bb05f494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e0959fb608aa406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ab6c9eb153f74547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3c2c26aa0d5d488b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1ae5d49c97004f58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1.xml" Id="Rf8dba7c1696c4161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2ff421c7cdae48ab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3.xml" Id="Rbfd16654146940fc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4.xml" Id="Rd7698ca7b04d4f9c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5.xml" Id="R7f32641b35424049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6.xml" Id="Red44fe6a3a404d15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7.xml" Id="R2198d7654f904b9f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8.xml" Id="R04deb83086434355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19.xml" Id="Ra6279d31decd4ea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0" hidden="0" customWidth="1"/>
  </x:cols>
  <x:sheetData>
    <x:row r="1" ht="30" customHeight="1">
      <x:c r="A1" s="46" t="str">
        <x:v>PCパーツ品質カタログ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人間がExcelで検索・追記し、機械が同じデータを検証・JSON化する品質カタログです。マザーボードは本体、PCIe/M.2、USBを分離し、product_idで結合します。</x:v>
      </x:c>
      <x:c r="B2" s="7" t="str">
        <x:v>人間がExcelで管理し、検証済みJSONを監視・製品検索ツールが利用します。GPUはチップ性能とボードSKU品質を分離します。</x:v>
      </x:c>
      <x:c r="C2" s="7" t="str">
        <x:v>人間がExcelで管理し、検証済みJSONを監視・製品検索ツールが利用します。GPUはチップ性能とボードSKU品質を分離します。</x:v>
      </x:c>
      <x:c r="D2" s="7"/>
      <x:c r="E2" s="7"/>
      <x:c r="F2" s="7"/>
      <x:c r="G2" s="7"/>
      <x:c r="H2" s="7"/>
    </x:row>
    <x:row r="4">
      <x:c r="A4" s="52" t="str">
        <x:v>項目</x:v>
      </x:c>
      <x:c r="B4" s="53" t="str">
        <x:v>運用ルール</x:v>
      </x:c>
    </x:row>
    <x:row r="5">
      <x:c r="A5" s="62" t="str">
        <x:v>基本方針</x:v>
      </x:c>
      <x:c r="B5" s="58" t="str">
        <x:v>カテゴリシートが製品情報の正本です。Productsシートへ重複入力しません。</x:v>
      </x:c>
    </x:row>
    <x:row r="6">
      <x:c r="A6" s="62" t="str">
        <x:v>主要識別子</x:v>
      </x:c>
      <x:c r="B6" s="58" t="str">
        <x:v>ASIN・JAN・部品番号・価格.com IDはカテゴリシートへ入力します。追加識別子だけIdentifiersへ登録します。</x:v>
      </x:c>
    </x:row>
    <x:row r="7">
      <x:c r="A7" s="62" t="str">
        <x:v>根拠</x:v>
      </x:c>
      <x:c r="B7" s="58" t="str">
        <x:v>公式仕様・レビュー・検証記事はEvidenceへ1資料1行で登録します。</x:v>
      </x:c>
    </x:row>
    <x:row r="8">
      <x:c r="A8" s="62" t="str">
        <x:v>リスク</x:v>
      </x:c>
      <x:c r="B8" s="58" t="str">
        <x:v>既知の問題はRisksへ1問題1行で登録します。resolved以外が自動判定へ反映されます。</x:v>
      </x:c>
    </x:row>
    <x:row r="9">
      <x:c r="A9" s="62" t="str">
        <x:v>列追加</x:v>
      </x:c>
      <x:c r="B9" s="58" t="str">
        <x:v>カテゴリ表へ新しい列を追加し、FieldDefinitionsへ同名の定義を追加します。specs配下ならJSONスキーマ変更は不要です。</x:v>
      </x:c>
    </x:row>
    <x:row r="10">
      <x:c r="A10" s="62" t="str">
        <x:v>複数値</x:v>
      </x:c>
      <x:c r="B10" s="58" t="str">
        <x:v>aliases・strengths・weaknesses・supportsなどはセル内で1件1行にします。</x:v>
      </x:c>
    </x:row>
    <x:row r="11">
      <x:c r="A11" s="62" t="str">
        <x:v>状態</x:v>
      </x:c>
      <x:c r="B11" s="58" t="str">
        <x:v>調査開始時はresearch_required、根拠確認後にapprovedまたはpreferredへ変更します。</x:v>
      </x:c>
    </x:row>
    <x:row r="12">
      <x:c r="A12" s="62" t="str">
        <x:v>価格履歴</x:v>
      </x:c>
      <x:c r="B12" s="58" t="str">
        <x:v>価格・ポイント・在庫はこのExcelへ保存せず、別のSQLite／履歴データへ保存します。</x:v>
      </x:c>
    </x:row>
    <x:row r="13">
      <x:c r="A13" s="63" t="str">
        <x:v>変換</x:v>
      </x:c>
      <x:c r="B13" s="59" t="str">
        <x:v>catalog_excel.py validate/buildで入力検証とJSON生成を行います。</x:v>
      </x:c>
    </x:row>
  </x:sheetData>
  <x:mergeCells>
    <x:mergeCell ref="A1:H1"/>
    <x:mergeCell ref="A2:C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0" customHeight="1">
      <x:c r="A1" s="46" t="str">
        <x:v>品質カタログ 検索入口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カテゴリ表のフィルターで検索できます。GPUはGPUChipsとボードSKU、Motherboardは本体・Slots・USBの3表に分け、親IDで関連付けます。</x:v>
      </x:c>
      <x:c r="B2" s="7" t="str">
        <x:v>GPUはGPUChips（性能・VRAM）とGPU（ボードメーカー別SKU）を分離。各カテゴリ表のフィルターで検索できます。</x:v>
      </x:c>
      <x:c r="C2" s="7" t="str">
        <x:v>GPUはGPUChips（性能・VRAM）とGPU（ボードメーカー別SKU）を分離。各カテゴリ表のフィルターで検索できます。</x:v>
      </x:c>
      <x:c r="D2" s="7" t="str">
        <x:v>GPUはGPUChips（性能・VRAM）とGPU（ボードメーカー別SKU）を分離。各カテゴリ表のフィルターで検索できます。</x:v>
      </x:c>
      <x:c r="E2" s="7" t="str">
        <x:v>GPUはGPUChips（性能・VRAM）とGPU（ボードメーカー別SKU）を分離。各カテゴリ表のフィルターで検索できます。</x:v>
      </x:c>
      <x:c r="F2" s="7" t="str">
        <x:v>GPUはGPUChips（性能・VRAM）とGPU（ボードメーカー別SKU）を分離。各カテゴリ表のフィルターで検索できます。</x:v>
      </x:c>
      <x:c r="G2" s="7" t="str">
        <x:v>GPUはGPUChips（性能・VRAM）とGPU（ボードメーカー別SKU）を分離。各カテゴリ表のフィルターで検索できます。</x:v>
      </x:c>
      <x:c r="H2" s="7" t="str">
        <x:v>GPUはGPUChips（性能・VRAM）とGPU（ボードメーカー別SKU）を分離。各カテゴリ表のフィルターで検索できます。</x:v>
      </x:c>
    </x:row>
    <x:row r="4">
      <x:c r="A4" s="126" t="str">
        <x:v>カテゴリ</x:v>
      </x:c>
      <x:c r="B4" s="126" t="str">
        <x:v>登録製品数</x:v>
      </x:c>
      <x:c r="C4" s="126" t="str">
        <x:v>承認・推奨</x:v>
      </x:c>
      <x:c r="D4" s="126" t="str">
        <x:v>調査中</x:v>
      </x:c>
    </x:row>
    <x:row r="5">
      <x:c r="A5" s="128" t="str">
        <x:v>CPU</x:v>
      </x:c>
      <x:c r="B5" s="129" t="n">
        <x:f>COUNTA('CPU'!$A$5:$A$500)</x:f>
        <x:v>112</x:v>
      </x:c>
      <x:c r="C5" s="129" t="n">
        <x:f>COUNTIF('CPU'!$J$5:$J$500,"approved")+COUNTIF('CPU'!$J$5:$J$500,"preferred")</x:f>
        <x:v>0</x:v>
      </x:c>
      <x:c r="D5" s="129" t="n">
        <x:f>COUNTIF('CPU'!$J$5:$J$500,"research_required")</x:f>
        <x:v>112</x:v>
      </x:c>
    </x:row>
    <x:row r="6">
      <x:c r="A6" s="128" t="str">
        <x:v>GPUChips</x:v>
      </x:c>
      <x:c r="B6" s="129" t="n">
        <x:f>COUNTA('GPUChips'!$A$5:$A$500)</x:f>
        <x:v>64</x:v>
      </x:c>
      <x:c r="C6" s="129" t="n">
        <x:f>COUNTIF('GPUChips'!$F$5:$F$500,"approved")+COUNTIF('GPUChips'!$F$5:$F$500,"preferred")</x:f>
        <x:v>0</x:v>
      </x:c>
      <x:c r="D6" s="129" t="n">
        <x:f>COUNTIF('GPUChips'!$F$5:$F$500,"research_required")</x:f>
        <x:v>64</x:v>
      </x:c>
    </x:row>
    <x:row r="7">
      <x:c r="A7" s="128" t="str">
        <x:v>GPUボードSKU</x:v>
      </x:c>
      <x:c r="B7" s="129" t="n">
        <x:f>COUNTA('GPU'!$A$5:$A$500)</x:f>
        <x:v>44</x:v>
      </x:c>
      <x:c r="C7" s="129" t="n">
        <x:f>COUNTIF('GPU'!$J$5:$J$500,"approved")+COUNTIF('GPU'!$J$5:$J$500,"preferred")</x:f>
        <x:v>0</x:v>
      </x:c>
      <x:c r="D7" s="129" t="n">
        <x:f>COUNTIF('GPU'!$J$5:$J$500,"research_required")</x:f>
        <x:v>44</x:v>
      </x:c>
    </x:row>
    <x:row r="8">
      <x:c r="A8" s="128" t="str">
        <x:v>Memory</x:v>
      </x:c>
      <x:c r="B8" s="129" t="n">
        <x:f>COUNTA('Memory'!$A$5:$A$500)</x:f>
        <x:v>16</x:v>
      </x:c>
      <x:c r="C8" s="129" t="n">
        <x:f>COUNTIF('Memory'!$J$5:$J$500,"approved")+COUNTIF('Memory'!$J$5:$J$500,"preferred")</x:f>
        <x:v>0</x:v>
      </x:c>
      <x:c r="D8" s="129" t="n">
        <x:f>COUNTIF('Memory'!$J$5:$J$500,"research_required")</x:f>
        <x:v>16</x:v>
      </x:c>
    </x:row>
    <x:row r="9">
      <x:c r="A9" s="128" t="str">
        <x:v>SSD</x:v>
      </x:c>
      <x:c r="B9" s="129" t="n">
        <x:f>COUNTA('SSD'!$A$5:$A$500)</x:f>
        <x:v>0</x:v>
      </x:c>
      <x:c r="C9" s="129" t="n">
        <x:f>COUNTIF('SSD'!$J$5:$J$500,"approved")+COUNTIF('SSD'!$J$5:$J$500,"preferred")</x:f>
        <x:v>0</x:v>
      </x:c>
      <x:c r="D9" s="129" t="n">
        <x:f>COUNTIF('SSD'!$J$5:$J$500,"research_required")</x:f>
        <x:v>0</x:v>
      </x:c>
    </x:row>
    <x:row r="10">
      <x:c r="A10" s="128" t="str">
        <x:v>PSU</x:v>
      </x:c>
      <x:c r="B10" s="129" t="n">
        <x:f>COUNTA('PSU'!$A$5:$A$500)</x:f>
        <x:v>0</x:v>
      </x:c>
      <x:c r="C10" s="129" t="n">
        <x:f>COUNTIF('PSU'!$J$5:$J$500,"approved")+COUNTIF('PSU'!$J$5:$J$500,"preferred")</x:f>
        <x:v>0</x:v>
      </x:c>
      <x:c r="D10" s="129" t="n">
        <x:f>COUNTIF('PSU'!$J$5:$J$500,"research_required")</x:f>
        <x:v>0</x:v>
      </x:c>
    </x:row>
    <x:row r="11">
      <x:c r="A11" s="128" t="str">
        <x:v>Motherboard</x:v>
      </x:c>
      <x:c r="B11" s="129" t="n">
        <x:f>COUNTA('Motherboard'!$A$5:$A$500)</x:f>
        <x:v>10</x:v>
      </x:c>
      <x:c r="C11" s="129" t="n">
        <x:f>COUNTIF('Motherboard'!$J$5:$J$500,"approved")+COUNTIF('Motherboard'!$J$5:$J$500,"preferred")</x:f>
        <x:v>0</x:v>
      </x:c>
      <x:c r="D11" s="129" t="n">
        <x:f>COUNTIF('Motherboard'!$J$5:$J$500,"research_required")</x:f>
        <x:v>10</x:v>
      </x:c>
    </x:row>
    <x:row r="12">
      <x:c r="A12" s="128" t="str">
        <x:v>Monitor</x:v>
      </x:c>
      <x:c r="B12" s="129" t="n">
        <x:f>COUNTA('Monitor'!$A$5:$A$500)</x:f>
        <x:v>0</x:v>
      </x:c>
      <x:c r="C12" s="129" t="n">
        <x:f>COUNTIF('Monitor'!$J$5:$J$500,"approved")+COUNTIF('Monitor'!$J$5:$J$500,"preferred")</x:f>
        <x:v>0</x:v>
      </x:c>
      <x:c r="D12" s="129" t="n">
        <x:f>COUNTIF('Monitor'!$J$5:$J$500,"research_required")</x:f>
        <x:v>0</x:v>
      </x:c>
    </x:row>
    <x:row r="14">
      <x:c r="A14" s="8" t="str">
        <x:v>使い方</x:v>
      </x:c>
      <x:c r="B14" s="8" t="str">
        <x:v>使い方</x:v>
      </x:c>
      <x:c r="C14" s="8" t="str">
        <x:v>使い方</x:v>
      </x:c>
      <x:c r="D14" s="8" t="str">
        <x:v>使い方</x:v>
      </x:c>
      <x:c r="E14" s="8" t="str">
        <x:v>使い方</x:v>
      </x:c>
      <x:c r="F14" s="8" t="str">
        <x:v>使い方</x:v>
      </x:c>
      <x:c r="G14" s="8" t="str">
        <x:v>使い方</x:v>
      </x:c>
      <x:c r="H14" s="8" t="str">
        <x:v>使い方</x:v>
      </x:c>
    </x:row>
    <x:row r="15" ht="22" customHeight="1">
      <x:c r="A15" s="130" t="str">
        <x:v>1. カテゴリ表でstatus・仕様・品質条件を絞り込む
2. マザーボードはMotherboardで候補を探す
3. MotherboardSlotsでレーン共有とCPU別条件を確認する
4. MotherboardUSBで背面USBの規格・Type-A/C・本数を確認する
5. EvidenceとRisksを1件1行で追加する
6. 親シートの列追加時はFieldDefinitionsにも定義を追加する</x:v>
      </x:c>
      <x:c r="B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6" ht="22" customHeight="1">
      <x:c r="A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7" ht="22" customHeight="1">
      <x:c r="A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8" ht="22" customHeight="1">
      <x:c r="A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9" ht="22" customHeight="1">
      <x:c r="A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20" ht="22" customHeight="1">
      <x:c r="A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</x:sheetData>
  <x:mergeCells>
    <x:mergeCell ref="A1:H1"/>
    <x:mergeCell ref="A2:H2"/>
    <x:mergeCell ref="A14:H14"/>
    <x:mergeCell ref="A15:H2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0" hidden="0" customWidth="1"/>
    <x:col min="3" max="3" width="24" hidden="0" customWidth="1"/>
    <x:col min="4" max="4" width="27" hidden="0" customWidth="1"/>
    <x:col min="5" max="5" width="16" hidden="0" customWidth="1"/>
    <x:col min="6" max="6" width="16" hidden="0" customWidth="1"/>
    <x:col min="7" max="7" width="18" hidden="0" customWidth="1"/>
    <x:col min="8" max="8" width="18" hidden="0" customWidth="1"/>
    <x:col min="9" max="9" width="23" hidden="0" customWidth="1"/>
    <x:col min="10" max="10" width="18" hidden="0" customWidth="1"/>
    <x:col min="11" max="11" width="11" hidden="0" customWidth="1"/>
    <x:col min="12" max="12" width="13" hidden="0" customWidth="1"/>
    <x:col min="13" max="13" width="34" hidden="0" customWidth="1"/>
    <x:col min="14" max="14" width="24" hidden="0" customWidth="1"/>
    <x:col min="15" max="15" width="24" hidden="0" customWidth="1"/>
    <x:col min="16" max="16" width="30" hidden="0" customWidth="1"/>
    <x:col min="17" max="17" width="42" hidden="0" customWidth="1"/>
    <x:col min="18" max="18" width="12" hidden="0" customWidth="1"/>
    <x:col min="19" max="19" width="9" hidden="0" customWidth="1"/>
    <x:col min="20" max="20" width="9" hidden="0" customWidth="1"/>
    <x:col min="21" max="21" width="20" hidden="0" customWidth="1"/>
    <x:col min="22" max="22" width="14" hidden="0" customWidth="1"/>
    <x:col min="23" max="23" width="10" hidden="0" customWidth="1"/>
    <x:col min="24" max="24" width="15" hidden="0" customWidth="1"/>
    <x:col min="25" max="25" width="18" hidden="0" customWidth="1"/>
    <x:col min="26" max="26" width="15" hidden="0" customWidth="1"/>
    <x:col min="27" max="27" width="20" hidden="0" customWidth="1"/>
    <x:col min="28" max="28" width="18" hidden="0" customWidth="1"/>
    <x:col min="29" max="29" width="14" hidden="0" customWidth="1"/>
    <x:col min="30" max="30" width="13" hidden="0" customWidth="1"/>
    <x:col min="31" max="31" width="14" hidden="0" customWidth="1"/>
    <x:col min="32" max="32" width="18" hidden="0" customWidth="1"/>
    <x:col min="33" max="33" width="16" hidden="0" customWidth="1"/>
    <x:col min="34" max="34" width="22" hidden="0" customWidth="1"/>
    <x:col min="35" max="35" width="13" hidden="0" customWidth="1"/>
    <x:col min="36" max="36" width="13" hidden="0" customWidth="1"/>
    <x:col min="37" max="37" width="14" hidden="0" customWidth="1"/>
    <x:col min="38" max="38" width="18" hidden="0" customWidth="1"/>
    <x:col min="39" max="39" width="21" hidden="0" customWidth="1"/>
    <x:col min="40" max="40" width="15" hidden="0" customWidth="1"/>
  </x:cols>
  <x:sheetData>
    <x:row r="1" ht="34" customHeight="1">
      <x:c r="A1" s="67" t="str">
        <x:v>CPU 品質・性能カタログ</x:v>
      </x:c>
      <x:c r="B1" s="67" t="str">
        <x:v>CPU 品質・性能カタログ</x:v>
      </x:c>
      <x:c r="C1" s="67" t="str">
        <x:v>CPU 品質・性能カタログ</x:v>
      </x:c>
      <x:c r="D1" s="67" t="str">
        <x:v>CPU 品質・性能カタログ</x:v>
      </x:c>
      <x:c r="E1" s="67" t="str">
        <x:v>CPU 品質・性能カタログ</x:v>
      </x:c>
      <x:c r="F1" s="67" t="str">
        <x:v>CPU 品質・性能カタログ</x:v>
      </x:c>
      <x:c r="G1" s="67" t="str">
        <x:v>CPU 品質・性能カタログ</x:v>
      </x:c>
      <x:c r="H1" s="67" t="str">
        <x:v>CPU 品質・性能カタログ</x:v>
      </x:c>
      <x:c r="I1" s="67" t="str">
        <x:v>CPU 品質・性能カタログ</x:v>
      </x:c>
      <x:c r="J1" s="67" t="str">
        <x:v>CPU 品質・性能カタログ</x:v>
      </x:c>
      <x:c r="K1" s="67" t="str">
        <x:v>CPU 品質・性能カタログ</x:v>
      </x:c>
      <x:c r="L1" s="67" t="str">
        <x:v>CPU 品質・性能カタログ</x:v>
      </x:c>
      <x:c r="M1" s="67" t="str">
        <x:v>CPU 品質・性能カタログ</x:v>
      </x:c>
      <x:c r="N1" s="67" t="str">
        <x:v>CPU 品質・性能カタログ</x:v>
      </x:c>
      <x:c r="O1" s="67" t="str">
        <x:v>CPU 品質・性能カタログ</x:v>
      </x:c>
      <x:c r="P1" s="67" t="str">
        <x:v>CPU 品質・性能カタログ</x:v>
      </x:c>
      <x:c r="Q1" s="67" t="str">
        <x:v>CPU 品質・性能カタログ</x:v>
      </x:c>
      <x:c r="R1" s="67" t="str">
        <x:v>CPU 品質・性能カタログ</x:v>
      </x:c>
      <x:c r="S1" s="67" t="str">
        <x:v>CPU 品質・性能カタログ</x:v>
      </x:c>
      <x:c r="T1" s="67" t="str">
        <x:v>CPU 品質・性能カタログ</x:v>
      </x:c>
      <x:c r="U1" s="67" t="str">
        <x:v>CPU 品質・性能カタログ</x:v>
      </x:c>
      <x:c r="V1" s="67" t="str">
        <x:v>CPU 品質・性能カタログ</x:v>
      </x:c>
      <x:c r="W1" s="67" t="str">
        <x:v>CPU 品質・性能カタログ</x:v>
      </x:c>
      <x:c r="X1" s="67" t="str">
        <x:v>CPU 品質・性能カタログ</x:v>
      </x:c>
      <x:c r="Y1" s="67" t="str">
        <x:v>CPU 品質・性能カタログ</x:v>
      </x:c>
      <x:c r="Z1" s="67" t="str">
        <x:v>CPU 品質・性能カタログ</x:v>
      </x:c>
      <x:c r="AA1" s="67" t="str">
        <x:v>CPU 品質・性能カタログ</x:v>
      </x:c>
      <x:c r="AB1" s="67" t="str">
        <x:v>CPU 品質・性能カタログ</x:v>
      </x:c>
      <x:c r="AC1" s="67" t="str">
        <x:v>CPU 品質・性能カタログ</x:v>
      </x:c>
      <x:c r="AD1" s="67" t="str">
        <x:v>CPU 品質・性能カタログ</x:v>
      </x:c>
      <x:c r="AE1" s="67" t="str">
        <x:v>CPU 品質・性能カタログ</x:v>
      </x:c>
      <x:c r="AF1" s="67" t="str">
        <x:v>CPU 品質・性能カタログ</x:v>
      </x:c>
      <x:c r="AG1" s="67" t="str">
        <x:v>CPU 品質・性能カタログ</x:v>
      </x:c>
      <x:c r="AH1" s="67" t="str">
        <x:v>CPU 品質・性能カタログ</x:v>
      </x:c>
      <x:c r="AI1" s="67" t="str">
        <x:v>CPU 品質・性能カタログ</x:v>
      </x:c>
      <x:c r="AJ1" s="67" t="str">
        <x:v>CPU 品質・性能カタログ</x:v>
      </x:c>
      <x:c r="AK1" s="67" t="str">
        <x:v>CPU 品質・性能カタログ</x:v>
      </x:c>
      <x:c r="AL1" s="67" t="str">
        <x:v>CPU 品質・性能カタログ</x:v>
      </x:c>
      <x:c r="AM1" s="67" t="str">
        <x:v>CPU 品質・性能カタログ</x:v>
      </x:c>
      <x:c r="AN1" s="67" t="str">
        <x:v>CPU 品質・性能カタログ</x:v>
      </x:c>
    </x:row>
    <x:row r="2" ht="32" customHeight="1">
      <x:c r="A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B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C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D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E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F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G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H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I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J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K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L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M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N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O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P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Q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R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S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T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U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V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W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X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Y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Z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A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B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C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D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E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F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G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H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I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J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K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L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M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N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</x:row>
    <x:row r="4" ht="42" customHeight="1">
      <x:c r="A4" s="77" t="str">
        <x:v>product_id</x:v>
      </x:c>
      <x:c r="B4" s="77" t="str">
        <x:v>brand</x:v>
      </x:c>
      <x:c r="C4" s="77" t="str">
        <x:v>model</x:v>
      </x:c>
      <x:c r="D4" s="77" t="str">
        <x:v>display_name</x:v>
      </x:c>
      <x:c r="E4" s="77" t="str">
        <x:v>primary_asin</x:v>
      </x:c>
      <x:c r="F4" s="77" t="str">
        <x:v>primary_jan</x:v>
      </x:c>
      <x:c r="G4" s="77" t="str">
        <x:v>part_number</x:v>
      </x:c>
      <x:c r="H4" s="77" t="str">
        <x:v>kakaku_product_id</x:v>
      </x:c>
      <x:c r="I4" s="77" t="str">
        <x:v>aliases</x:v>
      </x:c>
      <x:c r="J4" s="77" t="str">
        <x:v>status</x:v>
      </x:c>
      <x:c r="K4" s="77" t="str">
        <x:v>tier</x:v>
      </x:c>
      <x:c r="L4" s="77" t="str">
        <x:v>reviewed_at</x:v>
      </x:c>
      <x:c r="M4" s="77" t="str">
        <x:v>quality_summary</x:v>
      </x:c>
      <x:c r="N4" s="77" t="str">
        <x:v>strengths</x:v>
      </x:c>
      <x:c r="O4" s="77" t="str">
        <x:v>weaknesses</x:v>
      </x:c>
      <x:c r="P4" s="77" t="str">
        <x:v>risk_summary</x:v>
      </x:c>
      <x:c r="Q4" s="77" t="str">
        <x:v>notes</x:v>
      </x:c>
      <x:c r="R4" s="77" t="str">
        <x:v>socket</x:v>
      </x:c>
      <x:c r="S4" s="77" t="str">
        <x:v>cores</x:v>
      </x:c>
      <x:c r="T4" s="77" t="str">
        <x:v>threads</x:v>
      </x:c>
      <x:c r="U4" s="77" t="str">
        <x:v>architecture</x:v>
      </x:c>
      <x:c r="V4" s="77" t="str">
        <x:v>boost_clock_ghz</x:v>
      </x:c>
      <x:c r="W4" s="77" t="str">
        <x:v>tdp_w</x:v>
      </x:c>
      <x:c r="X4" s="77" t="str">
        <x:v>retail_package</x:v>
      </x:c>
      <x:c r="Y4" s="77" t="str">
        <x:v>cache_specialized_for_gaming</x:v>
      </x:c>
      <x:c r="Z4" s="77" t="str">
        <x:v>integrated_graphics</x:v>
      </x:c>
      <x:c r="AA4" s="77" t="str">
        <x:v>cooling_requirement_class</x:v>
      </x:c>
      <x:c r="AB4" s="77" t="str">
        <x:v>platform_support_years_remaining</x:v>
      </x:c>
      <x:c r="AC4" s="77" t="str">
        <x:v>warranty_years</x:v>
      </x:c>
      <x:c r="AD4" s="77" t="str">
        <x:v>release_date</x:v>
      </x:c>
      <x:c r="AE4" s="77" t="str">
        <x:v>launch_period</x:v>
      </x:c>
      <x:c r="AF4" s="77" t="str">
        <x:v>release_date_precision</x:v>
      </x:c>
      <x:c r="AG4" s="77" t="str">
        <x:v>series</x:v>
      </x:c>
      <x:c r="AH4" s="77" t="str">
        <x:v>generation</x:v>
      </x:c>
      <x:c r="AI4" s="77" t="str">
        <x:v>performance_cores</x:v>
      </x:c>
      <x:c r="AJ4" s="77" t="str">
        <x:v>efficiency_cores</x:v>
      </x:c>
      <x:c r="AK4" s="77" t="str">
        <x:v>total_cache_mb</x:v>
      </x:c>
      <x:c r="AL4" s="77" t="str">
        <x:v>passmark_cpu_mark</x:v>
      </x:c>
      <x:c r="AM4" s="77" t="str">
        <x:v>passmark_single_thread_mark</x:v>
      </x:c>
      <x:c r="AN4" s="77" t="str">
        <x:v>passmark_checked_at</x:v>
      </x:c>
    </x:row>
    <x:row r="5">
      <x:c r="A5" s="82" t="str">
        <x:v>amd-ryzen-5-5500</x:v>
      </x:c>
      <x:c r="B5" s="80" t="str">
        <x:v>AMD</x:v>
      </x:c>
      <x:c r="C5" s="80" t="str">
        <x:v>Ryzen 5 5500</x:v>
      </x:c>
      <x:c r="D5" s="80" t="str">
        <x:v>AMD Ryzen 5 5500</x:v>
      </x:c>
      <x:c r="E5" s="80"/>
      <x:c r="F5" s="80"/>
      <x:c r="G5" s="80"/>
      <x:c r="H5" s="80"/>
      <x:c r="I5" s="80" t="str">
        <x:v>Ryzen 5 5500</x:v>
      </x:c>
      <x:c r="J5" s="80" t="str">
        <x:v>research_required</x:v>
      </x:c>
      <x:c r="K5" s="80" t="str">
        <x:v>unrated</x:v>
      </x:c>
      <x:c r="L5" s="83" t="n">
        <x:v>46218</x:v>
      </x:c>
      <x:c r="M5" s="14" t="str">
        <x:v>公式仕様とPassMark性能値を登録。ASIN/JAN、国内リテール品、保証条件、独立レビューは要確認。</x:v>
      </x:c>
      <x:c r="N5" s="14"/>
      <x:c r="O5" s="14"/>
      <x:c r="P5" s="14" t="str">
        <x:v>型番識別子・国内保証・販売形態を未確認</x:v>
      </x:c>
      <x:c r="Q5" s="14" t="str">
        <x:v>PassMarkスコアは2026-07-15確認時点。掲載値は更新されるため価格判定時に再確認してください。</x:v>
      </x:c>
      <x:c r="R5" s="80" t="str">
        <x:v>AM4</x:v>
      </x:c>
      <x:c r="S5" s="84" t="n">
        <x:v>6</x:v>
      </x:c>
      <x:c r="T5" s="84" t="n">
        <x:v>12</x:v>
      </x:c>
      <x:c r="U5" s="80" t="str">
        <x:v>Zen 3</x:v>
      </x:c>
      <x:c r="V5" s="85"/>
      <x:c r="W5" s="85" t="n">
        <x:v>65</x:v>
      </x:c>
      <x:c r="X5" s="80"/>
      <x:c r="Y5" s="81" t="b">
        <x:v>0</x:v>
      </x:c>
      <x:c r="Z5" s="81" t="b">
        <x:v>0</x:v>
      </x:c>
      <x:c r="AA5" s="80" t="str">
        <x:v>low</x:v>
      </x:c>
      <x:c r="AB5" s="80"/>
      <x:c r="AC5" s="80"/>
      <x:c r="AD5" s="83" t="n">
        <x:v>44655</x:v>
      </x:c>
      <x:c r="AE5" s="80" t="str">
        <x:v>2022-04-04</x:v>
      </x:c>
      <x:c r="AF5" s="80" t="str">
        <x:v>exact</x:v>
      </x:c>
      <x:c r="AG5" s="80" t="str">
        <x:v>Ryzen 5</x:v>
      </x:c>
      <x:c r="AH5" s="80" t="str">
        <x:v>Ryzen 5000</x:v>
      </x:c>
      <x:c r="AI5" s="86" t="n">
        <x:v>6</x:v>
      </x:c>
      <x:c r="AJ5" s="86" t="n">
        <x:v>0</x:v>
      </x:c>
      <x:c r="AK5" s="86"/>
      <x:c r="AL5" s="86" t="n">
        <x:v>19252</x:v>
      </x:c>
      <x:c r="AM5" s="86" t="n">
        <x:v>3060</x:v>
      </x:c>
      <x:c r="AN5" s="83" t="n">
        <x:v>46218</x:v>
      </x:c>
    </x:row>
    <x:row r="6">
      <x:c r="A6" s="82" t="str">
        <x:v>amd-ryzen-5-5500gt</x:v>
      </x:c>
      <x:c r="B6" s="80" t="str">
        <x:v>AMD</x:v>
      </x:c>
      <x:c r="C6" s="80" t="str">
        <x:v>Ryzen 5 5500GT</x:v>
      </x:c>
      <x:c r="D6" s="80" t="str">
        <x:v>AMD Ryzen 5 5500GT</x:v>
      </x:c>
      <x:c r="E6" s="80"/>
      <x:c r="F6" s="80"/>
      <x:c r="G6" s="80"/>
      <x:c r="H6" s="80"/>
      <x:c r="I6" s="80" t="str">
        <x:v>Ryzen 5 5500GT</x:v>
      </x:c>
      <x:c r="J6" s="80" t="str">
        <x:v>research_required</x:v>
      </x:c>
      <x:c r="K6" s="80" t="str">
        <x:v>unrated</x:v>
      </x:c>
      <x:c r="L6" s="83" t="n">
        <x:v>46218</x:v>
      </x:c>
      <x:c r="M6" s="14" t="str">
        <x:v>公式仕様とPassMark性能値を登録。ASIN/JAN、国内リテール品、保証条件、独立レビューは要確認。</x:v>
      </x:c>
      <x:c r="N6" s="14"/>
      <x:c r="O6" s="14"/>
      <x:c r="P6" s="14" t="str">
        <x:v>型番識別子・国内保証・販売形態を未確認</x:v>
      </x:c>
      <x:c r="Q6" s="14" t="str">
        <x:v>PassMarkスコアは2026-07-15確認時点。掲載値は更新されるため価格判定時に再確認してください。</x:v>
      </x:c>
      <x:c r="R6" s="80" t="str">
        <x:v>AM4</x:v>
      </x:c>
      <x:c r="S6" s="84" t="n">
        <x:v>6</x:v>
      </x:c>
      <x:c r="T6" s="84" t="n">
        <x:v>12</x:v>
      </x:c>
      <x:c r="U6" s="80" t="str">
        <x:v>Zen 3</x:v>
      </x:c>
      <x:c r="V6" s="85"/>
      <x:c r="W6" s="85" t="n">
        <x:v>65</x:v>
      </x:c>
      <x:c r="X6" s="80"/>
      <x:c r="Y6" s="81" t="b">
        <x:v>0</x:v>
      </x:c>
      <x:c r="Z6" s="81" t="b">
        <x:v>1</x:v>
      </x:c>
      <x:c r="AA6" s="80" t="str">
        <x:v>low</x:v>
      </x:c>
      <x:c r="AB6" s="80"/>
      <x:c r="AC6" s="80"/>
      <x:c r="AD6" s="83" t="n">
        <x:v>45322</x:v>
      </x:c>
      <x:c r="AE6" s="80" t="str">
        <x:v>2024-01-31</x:v>
      </x:c>
      <x:c r="AF6" s="80" t="str">
        <x:v>exact</x:v>
      </x:c>
      <x:c r="AG6" s="80" t="str">
        <x:v>Ryzen 5</x:v>
      </x:c>
      <x:c r="AH6" s="80" t="str">
        <x:v>Ryzen 5000</x:v>
      </x:c>
      <x:c r="AI6" s="86" t="n">
        <x:v>6</x:v>
      </x:c>
      <x:c r="AJ6" s="86" t="n">
        <x:v>0</x:v>
      </x:c>
      <x:c r="AK6" s="86"/>
      <x:c r="AL6" s="86" t="n">
        <x:v>18991</x:v>
      </x:c>
      <x:c r="AM6" s="86" t="n">
        <x:v>3059</x:v>
      </x:c>
      <x:c r="AN6" s="83" t="n">
        <x:v>46218</x:v>
      </x:c>
    </x:row>
    <x:row r="7">
      <x:c r="A7" s="82" t="str">
        <x:v>amd-ryzen-5-5600</x:v>
      </x:c>
      <x:c r="B7" s="80" t="str">
        <x:v>AMD</x:v>
      </x:c>
      <x:c r="C7" s="80" t="str">
        <x:v>Ryzen 5 5600</x:v>
      </x:c>
      <x:c r="D7" s="80" t="str">
        <x:v>AMD Ryzen 5 5600</x:v>
      </x:c>
      <x:c r="E7" s="80"/>
      <x:c r="F7" s="80"/>
      <x:c r="G7" s="80"/>
      <x:c r="H7" s="80"/>
      <x:c r="I7" s="80" t="str">
        <x:v>Ryzen 5 5600</x:v>
      </x:c>
      <x:c r="J7" s="80" t="str">
        <x:v>research_required</x:v>
      </x:c>
      <x:c r="K7" s="80" t="str">
        <x:v>unrated</x:v>
      </x:c>
      <x:c r="L7" s="83" t="n">
        <x:v>46218</x:v>
      </x:c>
      <x:c r="M7" s="14" t="str">
        <x:v>公式仕様とPassMark性能値を登録。ASIN/JAN、国内リテール品、保証条件、独立レビューは要確認。</x:v>
      </x:c>
      <x:c r="N7" s="14"/>
      <x:c r="O7" s="14"/>
      <x:c r="P7" s="14" t="str">
        <x:v>型番識別子・国内保証・販売形態を未確認</x:v>
      </x:c>
      <x:c r="Q7" s="14" t="str">
        <x:v>PassMarkスコアは2026-07-15確認時点。掲載値は更新されるため価格判定時に再確認してください。</x:v>
      </x:c>
      <x:c r="R7" s="80" t="str">
        <x:v>AM4</x:v>
      </x:c>
      <x:c r="S7" s="84" t="n">
        <x:v>6</x:v>
      </x:c>
      <x:c r="T7" s="84" t="n">
        <x:v>12</x:v>
      </x:c>
      <x:c r="U7" s="80" t="str">
        <x:v>Zen 3</x:v>
      </x:c>
      <x:c r="V7" s="85"/>
      <x:c r="W7" s="85" t="n">
        <x:v>65</x:v>
      </x:c>
      <x:c r="X7" s="80"/>
      <x:c r="Y7" s="81" t="b">
        <x:v>0</x:v>
      </x:c>
      <x:c r="Z7" s="81" t="b">
        <x:v>0</x:v>
      </x:c>
      <x:c r="AA7" s="80" t="str">
        <x:v>low</x:v>
      </x:c>
      <x:c r="AB7" s="80"/>
      <x:c r="AC7" s="80"/>
      <x:c r="AD7" s="83" t="n">
        <x:v>44655</x:v>
      </x:c>
      <x:c r="AE7" s="80" t="str">
        <x:v>2022-04-04</x:v>
      </x:c>
      <x:c r="AF7" s="80" t="str">
        <x:v>exact</x:v>
      </x:c>
      <x:c r="AG7" s="80" t="str">
        <x:v>Ryzen 5</x:v>
      </x:c>
      <x:c r="AH7" s="80" t="str">
        <x:v>Ryzen 5000</x:v>
      </x:c>
      <x:c r="AI7" s="86" t="n">
        <x:v>6</x:v>
      </x:c>
      <x:c r="AJ7" s="86" t="n">
        <x:v>0</x:v>
      </x:c>
      <x:c r="AK7" s="86"/>
      <x:c r="AL7" s="86" t="n">
        <x:v>21510</x:v>
      </x:c>
      <x:c r="AM7" s="86" t="n">
        <x:v>3254</x:v>
      </x:c>
      <x:c r="AN7" s="83" t="n">
        <x:v>46218</x:v>
      </x:c>
    </x:row>
    <x:row r="8">
      <x:c r="A8" s="82" t="str">
        <x:v>amd-ryzen-5-5600g</x:v>
      </x:c>
      <x:c r="B8" s="80" t="str">
        <x:v>AMD</x:v>
      </x:c>
      <x:c r="C8" s="80" t="str">
        <x:v>Ryzen 5 5600G</x:v>
      </x:c>
      <x:c r="D8" s="80" t="str">
        <x:v>AMD Ryzen 5 5600G</x:v>
      </x:c>
      <x:c r="E8" s="80"/>
      <x:c r="F8" s="80"/>
      <x:c r="G8" s="80"/>
      <x:c r="H8" s="80"/>
      <x:c r="I8" s="80" t="str">
        <x:v>Ryzen 5 5600G</x:v>
      </x:c>
      <x:c r="J8" s="80" t="str">
        <x:v>research_required</x:v>
      </x:c>
      <x:c r="K8" s="80" t="str">
        <x:v>unrated</x:v>
      </x:c>
      <x:c r="L8" s="83" t="n">
        <x:v>46218</x:v>
      </x:c>
      <x:c r="M8" s="14" t="str">
        <x:v>公式仕様とPassMark性能値を登録。ASIN/JAN、国内リテール品、保証条件、独立レビューは要確認。</x:v>
      </x:c>
      <x:c r="N8" s="14"/>
      <x:c r="O8" s="14"/>
      <x:c r="P8" s="14" t="str">
        <x:v>型番識別子・国内保証・販売形態を未確認</x:v>
      </x:c>
      <x:c r="Q8" s="14" t="str">
        <x:v>PassMarkスコアは2026-07-15確認時点。掲載値は更新されるため価格判定時に再確認してください。</x:v>
      </x:c>
      <x:c r="R8" s="80" t="str">
        <x:v>AM4</x:v>
      </x:c>
      <x:c r="S8" s="84" t="n">
        <x:v>6</x:v>
      </x:c>
      <x:c r="T8" s="84" t="n">
        <x:v>12</x:v>
      </x:c>
      <x:c r="U8" s="80" t="str">
        <x:v>Zen 3</x:v>
      </x:c>
      <x:c r="V8" s="85"/>
      <x:c r="W8" s="85" t="n">
        <x:v>65</x:v>
      </x:c>
      <x:c r="X8" s="80"/>
      <x:c r="Y8" s="81" t="b">
        <x:v>0</x:v>
      </x:c>
      <x:c r="Z8" s="81" t="b">
        <x:v>1</x:v>
      </x:c>
      <x:c r="AA8" s="80" t="str">
        <x:v>low</x:v>
      </x:c>
      <x:c r="AB8" s="80"/>
      <x:c r="AC8" s="80"/>
      <x:c r="AD8" s="83" t="n">
        <x:v>44413</x:v>
      </x:c>
      <x:c r="AE8" s="80" t="str">
        <x:v>2021-08-05</x:v>
      </x:c>
      <x:c r="AF8" s="80" t="str">
        <x:v>exact</x:v>
      </x:c>
      <x:c r="AG8" s="80" t="str">
        <x:v>Ryzen 5</x:v>
      </x:c>
      <x:c r="AH8" s="80" t="str">
        <x:v>Ryzen 5000</x:v>
      </x:c>
      <x:c r="AI8" s="86" t="n">
        <x:v>6</x:v>
      </x:c>
      <x:c r="AJ8" s="86" t="n">
        <x:v>0</x:v>
      </x:c>
      <x:c r="AK8" s="86"/>
      <x:c r="AL8" s="86" t="n">
        <x:v>19645</x:v>
      </x:c>
      <x:c r="AM8" s="86" t="n">
        <x:v>3179</x:v>
      </x:c>
      <x:c r="AN8" s="83" t="n">
        <x:v>46218</x:v>
      </x:c>
    </x:row>
    <x:row r="9">
      <x:c r="A9" s="82" t="str">
        <x:v>amd-ryzen-5-5600gt</x:v>
      </x:c>
      <x:c r="B9" s="80" t="str">
        <x:v>AMD</x:v>
      </x:c>
      <x:c r="C9" s="80" t="str">
        <x:v>Ryzen 5 5600GT</x:v>
      </x:c>
      <x:c r="D9" s="80" t="str">
        <x:v>AMD Ryzen 5 5600GT</x:v>
      </x:c>
      <x:c r="E9" s="80"/>
      <x:c r="F9" s="80"/>
      <x:c r="G9" s="80"/>
      <x:c r="H9" s="80"/>
      <x:c r="I9" s="80" t="str">
        <x:v>Ryzen 5 5600GT</x:v>
      </x:c>
      <x:c r="J9" s="80" t="str">
        <x:v>research_required</x:v>
      </x:c>
      <x:c r="K9" s="80" t="str">
        <x:v>unrated</x:v>
      </x:c>
      <x:c r="L9" s="83" t="n">
        <x:v>46218</x:v>
      </x:c>
      <x:c r="M9" s="14" t="str">
        <x:v>公式仕様とPassMark性能値を登録。ASIN/JAN、国内リテール品、保証条件、独立レビューは要確認。</x:v>
      </x:c>
      <x:c r="N9" s="14"/>
      <x:c r="O9" s="14"/>
      <x:c r="P9" s="14" t="str">
        <x:v>型番識別子・国内保証・販売形態を未確認</x:v>
      </x:c>
      <x:c r="Q9" s="14" t="str">
        <x:v>PassMarkスコアは2026-07-15確認時点。掲載値は更新されるため価格判定時に再確認してください。</x:v>
      </x:c>
      <x:c r="R9" s="80" t="str">
        <x:v>AM4</x:v>
      </x:c>
      <x:c r="S9" s="84" t="n">
        <x:v>6</x:v>
      </x:c>
      <x:c r="T9" s="84" t="n">
        <x:v>12</x:v>
      </x:c>
      <x:c r="U9" s="80" t="str">
        <x:v>Zen 3</x:v>
      </x:c>
      <x:c r="V9" s="85"/>
      <x:c r="W9" s="85" t="n">
        <x:v>65</x:v>
      </x:c>
      <x:c r="X9" s="80"/>
      <x:c r="Y9" s="81" t="b">
        <x:v>0</x:v>
      </x:c>
      <x:c r="Z9" s="81" t="b">
        <x:v>1</x:v>
      </x:c>
      <x:c r="AA9" s="80" t="str">
        <x:v>low</x:v>
      </x:c>
      <x:c r="AB9" s="80"/>
      <x:c r="AC9" s="80"/>
      <x:c r="AD9" s="83" t="n">
        <x:v>45322</x:v>
      </x:c>
      <x:c r="AE9" s="80" t="str">
        <x:v>2024-01-31</x:v>
      </x:c>
      <x:c r="AF9" s="80" t="str">
        <x:v>exact</x:v>
      </x:c>
      <x:c r="AG9" s="80" t="str">
        <x:v>Ryzen 5</x:v>
      </x:c>
      <x:c r="AH9" s="80" t="str">
        <x:v>Ryzen 5000</x:v>
      </x:c>
      <x:c r="AI9" s="86" t="n">
        <x:v>6</x:v>
      </x:c>
      <x:c r="AJ9" s="86" t="n">
        <x:v>0</x:v>
      </x:c>
      <x:c r="AK9" s="86"/>
      <x:c r="AL9" s="86" t="n">
        <x:v>20141</x:v>
      </x:c>
      <x:c r="AM9" s="86" t="n">
        <x:v>3336</x:v>
      </x:c>
      <x:c r="AN9" s="83" t="n">
        <x:v>46218</x:v>
      </x:c>
    </x:row>
    <x:row r="10">
      <x:c r="A10" s="82" t="str">
        <x:v>amd-ryzen-5-5600x</x:v>
      </x:c>
      <x:c r="B10" s="80" t="str">
        <x:v>AMD</x:v>
      </x:c>
      <x:c r="C10" s="80" t="str">
        <x:v>Ryzen 5 5600X</x:v>
      </x:c>
      <x:c r="D10" s="80" t="str">
        <x:v>AMD Ryzen 5 5600X</x:v>
      </x:c>
      <x:c r="E10" s="80"/>
      <x:c r="F10" s="80"/>
      <x:c r="G10" s="80"/>
      <x:c r="H10" s="80"/>
      <x:c r="I10" s="80" t="str">
        <x:v>Ryzen 5 5600X</x:v>
      </x:c>
      <x:c r="J10" s="80" t="str">
        <x:v>research_required</x:v>
      </x:c>
      <x:c r="K10" s="80" t="str">
        <x:v>unrated</x:v>
      </x:c>
      <x:c r="L10" s="83" t="n">
        <x:v>46218</x:v>
      </x:c>
      <x:c r="M10" s="14" t="str">
        <x:v>公式仕様とPassMark性能値を登録。ASIN/JAN、国内リテール品、保証条件、独立レビューは要確認。</x:v>
      </x:c>
      <x:c r="N10" s="14"/>
      <x:c r="O10" s="14"/>
      <x:c r="P10" s="14" t="str">
        <x:v>型番識別子・国内保証・販売形態を未確認</x:v>
      </x:c>
      <x:c r="Q10" s="14" t="str">
        <x:v>PassMarkスコアは2026-07-15確認時点。掲載値は更新されるため価格判定時に再確認してください。</x:v>
      </x:c>
      <x:c r="R10" s="80" t="str">
        <x:v>AM4</x:v>
      </x:c>
      <x:c r="S10" s="84" t="n">
        <x:v>6</x:v>
      </x:c>
      <x:c r="T10" s="84" t="n">
        <x:v>12</x:v>
      </x:c>
      <x:c r="U10" s="80" t="str">
        <x:v>Zen 3</x:v>
      </x:c>
      <x:c r="V10" s="85"/>
      <x:c r="W10" s="85" t="n">
        <x:v>65</x:v>
      </x:c>
      <x:c r="X10" s="80"/>
      <x:c r="Y10" s="81" t="b">
        <x:v>0</x:v>
      </x:c>
      <x:c r="Z10" s="81" t="b">
        <x:v>0</x:v>
      </x:c>
      <x:c r="AA10" s="80" t="str">
        <x:v>low</x:v>
      </x:c>
      <x:c r="AB10" s="80"/>
      <x:c r="AC10" s="80"/>
      <x:c r="AD10" s="83" t="n">
        <x:v>44140</x:v>
      </x:c>
      <x:c r="AE10" s="80" t="str">
        <x:v>2020-11-05</x:v>
      </x:c>
      <x:c r="AF10" s="80" t="str">
        <x:v>exact</x:v>
      </x:c>
      <x:c r="AG10" s="80" t="str">
        <x:v>Ryzen 5</x:v>
      </x:c>
      <x:c r="AH10" s="80" t="str">
        <x:v>Ryzen 5000</x:v>
      </x:c>
      <x:c r="AI10" s="86" t="n">
        <x:v>6</x:v>
      </x:c>
      <x:c r="AJ10" s="86" t="n">
        <x:v>0</x:v>
      </x:c>
      <x:c r="AK10" s="86"/>
      <x:c r="AL10" s="86" t="n">
        <x:v>21830</x:v>
      </x:c>
      <x:c r="AM10" s="86" t="n">
        <x:v>3365</x:v>
      </x:c>
      <x:c r="AN10" s="83" t="n">
        <x:v>46218</x:v>
      </x:c>
    </x:row>
    <x:row r="11">
      <x:c r="A11" s="82" t="str">
        <x:v>amd-ryzen-7-5700</x:v>
      </x:c>
      <x:c r="B11" s="80" t="str">
        <x:v>AMD</x:v>
      </x:c>
      <x:c r="C11" s="80" t="str">
        <x:v>Ryzen 7 5700</x:v>
      </x:c>
      <x:c r="D11" s="80" t="str">
        <x:v>AMD Ryzen 7 5700</x:v>
      </x:c>
      <x:c r="E11" s="80"/>
      <x:c r="F11" s="80"/>
      <x:c r="G11" s="80"/>
      <x:c r="H11" s="80"/>
      <x:c r="I11" s="80" t="str">
        <x:v>Ryzen 7 5700</x:v>
      </x:c>
      <x:c r="J11" s="80" t="str">
        <x:v>research_required</x:v>
      </x:c>
      <x:c r="K11" s="80" t="str">
        <x:v>unrated</x:v>
      </x:c>
      <x:c r="L11" s="83" t="n">
        <x:v>46218</x:v>
      </x:c>
      <x:c r="M11" s="14" t="str">
        <x:v>公式仕様とPassMark性能値を登録。ASIN/JAN、国内リテール品、保証条件、独立レビューは要確認。</x:v>
      </x:c>
      <x:c r="N11" s="14"/>
      <x:c r="O11" s="14"/>
      <x:c r="P11" s="14" t="str">
        <x:v>型番識別子・国内保証・販売形態を未確認</x:v>
      </x:c>
      <x:c r="Q11" s="14" t="str">
        <x:v>PassMarkスコアは2026-07-15確認時点。掲載値は更新されるため価格判定時に再確認してください。</x:v>
      </x:c>
      <x:c r="R11" s="80" t="str">
        <x:v>AM4</x:v>
      </x:c>
      <x:c r="S11" s="84" t="n">
        <x:v>8</x:v>
      </x:c>
      <x:c r="T11" s="84" t="n">
        <x:v>16</x:v>
      </x:c>
      <x:c r="U11" s="80" t="str">
        <x:v>Zen 3</x:v>
      </x:c>
      <x:c r="V11" s="85"/>
      <x:c r="W11" s="85" t="n">
        <x:v>65</x:v>
      </x:c>
      <x:c r="X11" s="80"/>
      <x:c r="Y11" s="81" t="b">
        <x:v>0</x:v>
      </x:c>
      <x:c r="Z11" s="81" t="b">
        <x:v>0</x:v>
      </x:c>
      <x:c r="AA11" s="80" t="str">
        <x:v>low</x:v>
      </x:c>
      <x:c r="AB11" s="80"/>
      <x:c r="AC11" s="80"/>
      <x:c r="AD11" s="83" t="n">
        <x:v>45322</x:v>
      </x:c>
      <x:c r="AE11" s="80" t="str">
        <x:v>2024-01-31</x:v>
      </x:c>
      <x:c r="AF11" s="80" t="str">
        <x:v>exact</x:v>
      </x:c>
      <x:c r="AG11" s="80" t="str">
        <x:v>Ryzen 7</x:v>
      </x:c>
      <x:c r="AH11" s="80" t="str">
        <x:v>Ryzen 5000</x:v>
      </x:c>
      <x:c r="AI11" s="86" t="n">
        <x:v>8</x:v>
      </x:c>
      <x:c r="AJ11" s="86" t="n">
        <x:v>0</x:v>
      </x:c>
      <x:c r="AK11" s="86"/>
      <x:c r="AL11" s="86" t="n">
        <x:v>24237</x:v>
      </x:c>
      <x:c r="AM11" s="86" t="n">
        <x:v>3296</x:v>
      </x:c>
      <x:c r="AN11" s="83" t="n">
        <x:v>46218</x:v>
      </x:c>
    </x:row>
    <x:row r="12">
      <x:c r="A12" s="82" t="str">
        <x:v>amd-ryzen-7-5700g</x:v>
      </x:c>
      <x:c r="B12" s="80" t="str">
        <x:v>AMD</x:v>
      </x:c>
      <x:c r="C12" s="80" t="str">
        <x:v>Ryzen 7 5700G</x:v>
      </x:c>
      <x:c r="D12" s="80" t="str">
        <x:v>AMD Ryzen 7 5700G</x:v>
      </x:c>
      <x:c r="E12" s="80"/>
      <x:c r="F12" s="80"/>
      <x:c r="G12" s="80"/>
      <x:c r="H12" s="80"/>
      <x:c r="I12" s="80" t="str">
        <x:v>Ryzen 7 5700G</x:v>
      </x:c>
      <x:c r="J12" s="80" t="str">
        <x:v>research_required</x:v>
      </x:c>
      <x:c r="K12" s="80" t="str">
        <x:v>unrated</x:v>
      </x:c>
      <x:c r="L12" s="83" t="n">
        <x:v>46218</x:v>
      </x:c>
      <x:c r="M12" s="14" t="str">
        <x:v>公式仕様とPassMark性能値を登録。ASIN/JAN、国内リテール品、保証条件、独立レビューは要確認。</x:v>
      </x:c>
      <x:c r="N12" s="14"/>
      <x:c r="O12" s="14"/>
      <x:c r="P12" s="14" t="str">
        <x:v>型番識別子・国内保証・販売形態を未確認</x:v>
      </x:c>
      <x:c r="Q12" s="14" t="str">
        <x:v>PassMarkスコアは2026-07-15確認時点。掲載値は更新されるため価格判定時に再確認してください。</x:v>
      </x:c>
      <x:c r="R12" s="80" t="str">
        <x:v>AM4</x:v>
      </x:c>
      <x:c r="S12" s="84" t="n">
        <x:v>8</x:v>
      </x:c>
      <x:c r="T12" s="84" t="n">
        <x:v>16</x:v>
      </x:c>
      <x:c r="U12" s="80" t="str">
        <x:v>Zen 3</x:v>
      </x:c>
      <x:c r="V12" s="85"/>
      <x:c r="W12" s="85" t="n">
        <x:v>65</x:v>
      </x:c>
      <x:c r="X12" s="80"/>
      <x:c r="Y12" s="81" t="b">
        <x:v>0</x:v>
      </x:c>
      <x:c r="Z12" s="81" t="b">
        <x:v>1</x:v>
      </x:c>
      <x:c r="AA12" s="80" t="str">
        <x:v>low</x:v>
      </x:c>
      <x:c r="AB12" s="80"/>
      <x:c r="AC12" s="80"/>
      <x:c r="AD12" s="83" t="n">
        <x:v>44413</x:v>
      </x:c>
      <x:c r="AE12" s="80" t="str">
        <x:v>2021-08-05</x:v>
      </x:c>
      <x:c r="AF12" s="80" t="str">
        <x:v>exact</x:v>
      </x:c>
      <x:c r="AG12" s="80" t="str">
        <x:v>Ryzen 7</x:v>
      </x:c>
      <x:c r="AH12" s="80" t="str">
        <x:v>Ryzen 5000</x:v>
      </x:c>
      <x:c r="AI12" s="86" t="n">
        <x:v>8</x:v>
      </x:c>
      <x:c r="AJ12" s="86" t="n">
        <x:v>0</x:v>
      </x:c>
      <x:c r="AK12" s="86"/>
      <x:c r="AL12" s="86" t="n">
        <x:v>24248</x:v>
      </x:c>
      <x:c r="AM12" s="86" t="n">
        <x:v>3283</x:v>
      </x:c>
      <x:c r="AN12" s="83" t="n">
        <x:v>46218</x:v>
      </x:c>
    </x:row>
    <x:row r="13">
      <x:c r="A13" s="82" t="str">
        <x:v>amd-ryzen-7-5700x</x:v>
      </x:c>
      <x:c r="B13" s="80" t="str">
        <x:v>AMD</x:v>
      </x:c>
      <x:c r="C13" s="80" t="str">
        <x:v>Ryzen 7 5700X</x:v>
      </x:c>
      <x:c r="D13" s="80" t="str">
        <x:v>AMD Ryzen 7 5700X</x:v>
      </x:c>
      <x:c r="E13" s="80"/>
      <x:c r="F13" s="80"/>
      <x:c r="G13" s="80"/>
      <x:c r="H13" s="80"/>
      <x:c r="I13" s="80" t="str">
        <x:v>Ryzen 7 5700X</x:v>
      </x:c>
      <x:c r="J13" s="80" t="str">
        <x:v>research_required</x:v>
      </x:c>
      <x:c r="K13" s="80" t="str">
        <x:v>unrated</x:v>
      </x:c>
      <x:c r="L13" s="83" t="n">
        <x:v>46218</x:v>
      </x:c>
      <x:c r="M13" s="14" t="str">
        <x:v>公式仕様とPassMark性能値を登録。ASIN/JAN、国内リテール品、保証条件、独立レビューは要確認。</x:v>
      </x:c>
      <x:c r="N13" s="14"/>
      <x:c r="O13" s="14"/>
      <x:c r="P13" s="14" t="str">
        <x:v>型番識別子・国内保証・販売形態を未確認</x:v>
      </x:c>
      <x:c r="Q13" s="14" t="str">
        <x:v>PassMarkスコアは2026-07-15確認時点。掲載値は更新されるため価格判定時に再確認してください。</x:v>
      </x:c>
      <x:c r="R13" s="80" t="str">
        <x:v>AM4</x:v>
      </x:c>
      <x:c r="S13" s="84" t="n">
        <x:v>8</x:v>
      </x:c>
      <x:c r="T13" s="84" t="n">
        <x:v>16</x:v>
      </x:c>
      <x:c r="U13" s="80" t="str">
        <x:v>Zen 3</x:v>
      </x:c>
      <x:c r="V13" s="85"/>
      <x:c r="W13" s="85" t="n">
        <x:v>65</x:v>
      </x:c>
      <x:c r="X13" s="80"/>
      <x:c r="Y13" s="81" t="b">
        <x:v>0</x:v>
      </x:c>
      <x:c r="Z13" s="81" t="b">
        <x:v>0</x:v>
      </x:c>
      <x:c r="AA13" s="80" t="str">
        <x:v>low</x:v>
      </x:c>
      <x:c r="AB13" s="80"/>
      <x:c r="AC13" s="80"/>
      <x:c r="AD13" s="83" t="n">
        <x:v>44655</x:v>
      </x:c>
      <x:c r="AE13" s="80" t="str">
        <x:v>2022-04-04</x:v>
      </x:c>
      <x:c r="AF13" s="80" t="str">
        <x:v>exact</x:v>
      </x:c>
      <x:c r="AG13" s="80" t="str">
        <x:v>Ryzen 7</x:v>
      </x:c>
      <x:c r="AH13" s="80" t="str">
        <x:v>Ryzen 5000</x:v>
      </x:c>
      <x:c r="AI13" s="86" t="n">
        <x:v>8</x:v>
      </x:c>
      <x:c r="AJ13" s="86" t="n">
        <x:v>0</x:v>
      </x:c>
      <x:c r="AK13" s="86"/>
      <x:c r="AL13" s="86" t="n">
        <x:v>26568</x:v>
      </x:c>
      <x:c r="AM13" s="86" t="n">
        <x:v>3386</x:v>
      </x:c>
      <x:c r="AN13" s="83" t="n">
        <x:v>46218</x:v>
      </x:c>
    </x:row>
    <x:row r="14">
      <x:c r="A14" s="82" t="str">
        <x:v>amd-ryzen-7-5700x3d</x:v>
      </x:c>
      <x:c r="B14" s="80" t="str">
        <x:v>AMD</x:v>
      </x:c>
      <x:c r="C14" s="80" t="str">
        <x:v>Ryzen 7 5700X3D</x:v>
      </x:c>
      <x:c r="D14" s="80" t="str">
        <x:v>AMD Ryzen 7 5700X3D</x:v>
      </x:c>
      <x:c r="E14" s="80"/>
      <x:c r="F14" s="80"/>
      <x:c r="G14" s="80"/>
      <x:c r="H14" s="80"/>
      <x:c r="I14" s="80" t="str">
        <x:v>Ryzen 7 5700X3D</x:v>
      </x:c>
      <x:c r="J14" s="80" t="str">
        <x:v>research_required</x:v>
      </x:c>
      <x:c r="K14" s="80" t="str">
        <x:v>unrated</x:v>
      </x:c>
      <x:c r="L14" s="83" t="n">
        <x:v>46218</x:v>
      </x:c>
      <x:c r="M14" s="14" t="str">
        <x:v>公式仕様とPassMark性能値を登録。ASIN/JAN、国内リテール品、保証条件、独立レビューは要確認。</x:v>
      </x:c>
      <x:c r="N14" s="14"/>
      <x:c r="O14" s="14"/>
      <x:c r="P14" s="14" t="str">
        <x:v>型番識別子・国内保証・販売形態を未確認</x:v>
      </x:c>
      <x:c r="Q14" s="14" t="str">
        <x:v>PassMarkスコアは2026-07-15確認時点。掲載値は更新されるため価格判定時に再確認してください。</x:v>
      </x:c>
      <x:c r="R14" s="80" t="str">
        <x:v>AM4</x:v>
      </x:c>
      <x:c r="S14" s="84" t="n">
        <x:v>8</x:v>
      </x:c>
      <x:c r="T14" s="84" t="n">
        <x:v>16</x:v>
      </x:c>
      <x:c r="U14" s="80" t="str">
        <x:v>Zen 3</x:v>
      </x:c>
      <x:c r="V14" s="85"/>
      <x:c r="W14" s="85" t="n">
        <x:v>105</x:v>
      </x:c>
      <x:c r="X14" s="80"/>
      <x:c r="Y14" s="81" t="b">
        <x:v>1</x:v>
      </x:c>
      <x:c r="Z14" s="81" t="b">
        <x:v>0</x:v>
      </x:c>
      <x:c r="AA14" s="80" t="str">
        <x:v>medium</x:v>
      </x:c>
      <x:c r="AB14" s="80"/>
      <x:c r="AC14" s="80"/>
      <x:c r="AD14" s="83" t="n">
        <x:v>45322</x:v>
      </x:c>
      <x:c r="AE14" s="80" t="str">
        <x:v>2024-01-31</x:v>
      </x:c>
      <x:c r="AF14" s="80" t="str">
        <x:v>exact</x:v>
      </x:c>
      <x:c r="AG14" s="80" t="str">
        <x:v>Ryzen 7</x:v>
      </x:c>
      <x:c r="AH14" s="80" t="str">
        <x:v>Ryzen 5000</x:v>
      </x:c>
      <x:c r="AI14" s="86" t="n">
        <x:v>8</x:v>
      </x:c>
      <x:c r="AJ14" s="86" t="n">
        <x:v>0</x:v>
      </x:c>
      <x:c r="AK14" s="86"/>
      <x:c r="AL14" s="86" t="n">
        <x:v>26301</x:v>
      </x:c>
      <x:c r="AM14" s="86" t="n">
        <x:v>2968</x:v>
      </x:c>
      <x:c r="AN14" s="83" t="n">
        <x:v>46218</x:v>
      </x:c>
    </x:row>
    <x:row r="15">
      <x:c r="A15" s="82" t="str">
        <x:v>amd-ryzen-7-5800x</x:v>
      </x:c>
      <x:c r="B15" s="80" t="str">
        <x:v>AMD</x:v>
      </x:c>
      <x:c r="C15" s="80" t="str">
        <x:v>Ryzen 7 5800X</x:v>
      </x:c>
      <x:c r="D15" s="80" t="str">
        <x:v>AMD Ryzen 7 5800X</x:v>
      </x:c>
      <x:c r="E15" s="80"/>
      <x:c r="F15" s="80"/>
      <x:c r="G15" s="80"/>
      <x:c r="H15" s="80"/>
      <x:c r="I15" s="80" t="str">
        <x:v>Ryzen 7 5800X</x:v>
      </x:c>
      <x:c r="J15" s="80" t="str">
        <x:v>research_required</x:v>
      </x:c>
      <x:c r="K15" s="80" t="str">
        <x:v>unrated</x:v>
      </x:c>
      <x:c r="L15" s="83" t="n">
        <x:v>46218</x:v>
      </x:c>
      <x:c r="M15" s="14" t="str">
        <x:v>公式仕様とPassMark性能値を登録。ASIN/JAN、国内リテール品、保証条件、独立レビューは要確認。</x:v>
      </x:c>
      <x:c r="N15" s="14"/>
      <x:c r="O15" s="14"/>
      <x:c r="P15" s="14" t="str">
        <x:v>型番識別子・国内保証・販売形態を未確認</x:v>
      </x:c>
      <x:c r="Q15" s="14" t="str">
        <x:v>PassMarkスコアは2026-07-15確認時点。掲載値は更新されるため価格判定時に再確認してください。</x:v>
      </x:c>
      <x:c r="R15" s="80" t="str">
        <x:v>AM4</x:v>
      </x:c>
      <x:c r="S15" s="84" t="n">
        <x:v>8</x:v>
      </x:c>
      <x:c r="T15" s="84" t="n">
        <x:v>16</x:v>
      </x:c>
      <x:c r="U15" s="80" t="str">
        <x:v>Zen 3</x:v>
      </x:c>
      <x:c r="V15" s="85"/>
      <x:c r="W15" s="85" t="n">
        <x:v>105</x:v>
      </x:c>
      <x:c r="X15" s="80"/>
      <x:c r="Y15" s="81" t="b">
        <x:v>0</x:v>
      </x:c>
      <x:c r="Z15" s="81" t="b">
        <x:v>0</x:v>
      </x:c>
      <x:c r="AA15" s="80" t="str">
        <x:v>medium</x:v>
      </x:c>
      <x:c r="AB15" s="80"/>
      <x:c r="AC15" s="80"/>
      <x:c r="AD15" s="83" t="n">
        <x:v>44140</x:v>
      </x:c>
      <x:c r="AE15" s="80" t="str">
        <x:v>2020-11-05</x:v>
      </x:c>
      <x:c r="AF15" s="80" t="str">
        <x:v>exact</x:v>
      </x:c>
      <x:c r="AG15" s="80" t="str">
        <x:v>Ryzen 7</x:v>
      </x:c>
      <x:c r="AH15" s="80" t="str">
        <x:v>Ryzen 5000</x:v>
      </x:c>
      <x:c r="AI15" s="86" t="n">
        <x:v>8</x:v>
      </x:c>
      <x:c r="AJ15" s="86" t="n">
        <x:v>0</x:v>
      </x:c>
      <x:c r="AK15" s="86"/>
      <x:c r="AL15" s="86" t="n">
        <x:v>27672</x:v>
      </x:c>
      <x:c r="AM15" s="86" t="n">
        <x:v>3448</x:v>
      </x:c>
      <x:c r="AN15" s="83" t="n">
        <x:v>46218</x:v>
      </x:c>
    </x:row>
    <x:row r="16">
      <x:c r="A16" s="82" t="str">
        <x:v>amd-ryzen-7-5800x3d</x:v>
      </x:c>
      <x:c r="B16" s="80" t="str">
        <x:v>AMD</x:v>
      </x:c>
      <x:c r="C16" s="80" t="str">
        <x:v>Ryzen 7 5800X3D</x:v>
      </x:c>
      <x:c r="D16" s="80" t="str">
        <x:v>AMD Ryzen 7 5800X3D</x:v>
      </x:c>
      <x:c r="E16" s="80"/>
      <x:c r="F16" s="80"/>
      <x:c r="G16" s="80"/>
      <x:c r="H16" s="80"/>
      <x:c r="I16" s="80" t="str">
        <x:v>Ryzen 7 5800X3D</x:v>
      </x:c>
      <x:c r="J16" s="80" t="str">
        <x:v>research_required</x:v>
      </x:c>
      <x:c r="K16" s="80" t="str">
        <x:v>unrated</x:v>
      </x:c>
      <x:c r="L16" s="83" t="n">
        <x:v>46218</x:v>
      </x:c>
      <x:c r="M16" s="14" t="str">
        <x:v>公式仕様とPassMark性能値を登録。ASIN/JAN、国内リテール品、保証条件、独立レビューは要確認。</x:v>
      </x:c>
      <x:c r="N16" s="14"/>
      <x:c r="O16" s="14"/>
      <x:c r="P16" s="14" t="str">
        <x:v>型番識別子・国内保証・販売形態を未確認</x:v>
      </x:c>
      <x:c r="Q16" s="14" t="str">
        <x:v>PassMarkスコアは2026-07-15確認時点。掲載値は更新されるため価格判定時に再確認してください。</x:v>
      </x:c>
      <x:c r="R16" s="80" t="str">
        <x:v>AM4</x:v>
      </x:c>
      <x:c r="S16" s="84" t="n">
        <x:v>8</x:v>
      </x:c>
      <x:c r="T16" s="84" t="n">
        <x:v>16</x:v>
      </x:c>
      <x:c r="U16" s="80" t="str">
        <x:v>Zen 3</x:v>
      </x:c>
      <x:c r="V16" s="85"/>
      <x:c r="W16" s="85" t="n">
        <x:v>105</x:v>
      </x:c>
      <x:c r="X16" s="80"/>
      <x:c r="Y16" s="81" t="b">
        <x:v>1</x:v>
      </x:c>
      <x:c r="Z16" s="81" t="b">
        <x:v>0</x:v>
      </x:c>
      <x:c r="AA16" s="80" t="str">
        <x:v>medium</x:v>
      </x:c>
      <x:c r="AB16" s="80"/>
      <x:c r="AC16" s="80"/>
      <x:c r="AD16" s="83" t="n">
        <x:v>44671</x:v>
      </x:c>
      <x:c r="AE16" s="80" t="str">
        <x:v>2022-04-20</x:v>
      </x:c>
      <x:c r="AF16" s="80" t="str">
        <x:v>exact</x:v>
      </x:c>
      <x:c r="AG16" s="80" t="str">
        <x:v>Ryzen 7</x:v>
      </x:c>
      <x:c r="AH16" s="80" t="str">
        <x:v>Ryzen 5000</x:v>
      </x:c>
      <x:c r="AI16" s="86" t="n">
        <x:v>8</x:v>
      </x:c>
      <x:c r="AJ16" s="86" t="n">
        <x:v>0</x:v>
      </x:c>
      <x:c r="AK16" s="86"/>
      <x:c r="AL16" s="86" t="n">
        <x:v>28295</x:v>
      </x:c>
      <x:c r="AM16" s="86" t="n">
        <x:v>3233</x:v>
      </x:c>
      <x:c r="AN16" s="83" t="n">
        <x:v>46218</x:v>
      </x:c>
    </x:row>
    <x:row r="17">
      <x:c r="A17" s="82" t="str">
        <x:v>amd-ryzen-7-5800xt</x:v>
      </x:c>
      <x:c r="B17" s="80" t="str">
        <x:v>AMD</x:v>
      </x:c>
      <x:c r="C17" s="80" t="str">
        <x:v>Ryzen 7 5800XT</x:v>
      </x:c>
      <x:c r="D17" s="80" t="str">
        <x:v>AMD Ryzen 7 5800XT</x:v>
      </x:c>
      <x:c r="E17" s="80"/>
      <x:c r="F17" s="80"/>
      <x:c r="G17" s="80"/>
      <x:c r="H17" s="80"/>
      <x:c r="I17" s="80" t="str">
        <x:v>Ryzen 7 5800XT</x:v>
      </x:c>
      <x:c r="J17" s="80" t="str">
        <x:v>research_required</x:v>
      </x:c>
      <x:c r="K17" s="80" t="str">
        <x:v>unrated</x:v>
      </x:c>
      <x:c r="L17" s="83" t="n">
        <x:v>46218</x:v>
      </x:c>
      <x:c r="M17" s="14" t="str">
        <x:v>公式仕様とPassMark性能値を登録。ASIN/JAN、国内リテール品、保証条件、独立レビューは要確認。</x:v>
      </x:c>
      <x:c r="N17" s="14"/>
      <x:c r="O17" s="14"/>
      <x:c r="P17" s="14" t="str">
        <x:v>型番識別子・国内保証・販売形態を未確認</x:v>
      </x:c>
      <x:c r="Q17" s="14" t="str">
        <x:v>PassMarkスコアは2026-07-15確認時点。掲載値は更新されるため価格判定時に再確認してください。</x:v>
      </x:c>
      <x:c r="R17" s="80" t="str">
        <x:v>AM4</x:v>
      </x:c>
      <x:c r="S17" s="84" t="n">
        <x:v>8</x:v>
      </x:c>
      <x:c r="T17" s="84" t="n">
        <x:v>16</x:v>
      </x:c>
      <x:c r="U17" s="80" t="str">
        <x:v>Zen 3</x:v>
      </x:c>
      <x:c r="V17" s="85"/>
      <x:c r="W17" s="85" t="n">
        <x:v>105</x:v>
      </x:c>
      <x:c r="X17" s="80"/>
      <x:c r="Y17" s="81" t="b">
        <x:v>0</x:v>
      </x:c>
      <x:c r="Z17" s="81" t="b">
        <x:v>0</x:v>
      </x:c>
      <x:c r="AA17" s="80" t="str">
        <x:v>medium</x:v>
      </x:c>
      <x:c r="AB17" s="80"/>
      <x:c r="AC17" s="80"/>
      <x:c r="AD17" s="83"/>
      <x:c r="AE17" s="80" t="str">
        <x:v>2024-07</x:v>
      </x:c>
      <x:c r="AF17" s="80" t="str">
        <x:v>month</x:v>
      </x:c>
      <x:c r="AG17" s="80" t="str">
        <x:v>Ryzen 7</x:v>
      </x:c>
      <x:c r="AH17" s="80" t="str">
        <x:v>Ryzen 5000</x:v>
      </x:c>
      <x:c r="AI17" s="86" t="n">
        <x:v>8</x:v>
      </x:c>
      <x:c r="AJ17" s="86" t="n">
        <x:v>0</x:v>
      </x:c>
      <x:c r="AK17" s="86"/>
      <x:c r="AL17" s="86" t="n">
        <x:v>28030</x:v>
      </x:c>
      <x:c r="AM17" s="86" t="n">
        <x:v>3534</x:v>
      </x:c>
      <x:c r="AN17" s="83" t="n">
        <x:v>46218</x:v>
      </x:c>
    </x:row>
    <x:row r="18">
      <x:c r="A18" s="82" t="str">
        <x:v>amd-ryzen-9-5900x</x:v>
      </x:c>
      <x:c r="B18" s="80" t="str">
        <x:v>AMD</x:v>
      </x:c>
      <x:c r="C18" s="80" t="str">
        <x:v>Ryzen 9 5900X</x:v>
      </x:c>
      <x:c r="D18" s="80" t="str">
        <x:v>AMD Ryzen 9 5900X</x:v>
      </x:c>
      <x:c r="E18" s="80"/>
      <x:c r="F18" s="80"/>
      <x:c r="G18" s="80"/>
      <x:c r="H18" s="80"/>
      <x:c r="I18" s="80" t="str">
        <x:v>Ryzen 9 5900X</x:v>
      </x:c>
      <x:c r="J18" s="80" t="str">
        <x:v>research_required</x:v>
      </x:c>
      <x:c r="K18" s="80" t="str">
        <x:v>unrated</x:v>
      </x:c>
      <x:c r="L18" s="83" t="n">
        <x:v>46218</x:v>
      </x:c>
      <x:c r="M18" s="14" t="str">
        <x:v>公式仕様とPassMark性能値を登録。ASIN/JAN、国内リテール品、保証条件、独立レビューは要確認。</x:v>
      </x:c>
      <x:c r="N18" s="14"/>
      <x:c r="O18" s="14"/>
      <x:c r="P18" s="14" t="str">
        <x:v>型番識別子・国内保証・販売形態を未確認</x:v>
      </x:c>
      <x:c r="Q18" s="14" t="str">
        <x:v>PassMarkスコアは2026-07-15確認時点。掲載値は更新されるため価格判定時に再確認してください。</x:v>
      </x:c>
      <x:c r="R18" s="80" t="str">
        <x:v>AM4</x:v>
      </x:c>
      <x:c r="S18" s="84" t="n">
        <x:v>12</x:v>
      </x:c>
      <x:c r="T18" s="84" t="n">
        <x:v>24</x:v>
      </x:c>
      <x:c r="U18" s="80" t="str">
        <x:v>Zen 3</x:v>
      </x:c>
      <x:c r="V18" s="85"/>
      <x:c r="W18" s="85" t="n">
        <x:v>105</x:v>
      </x:c>
      <x:c r="X18" s="80"/>
      <x:c r="Y18" s="81" t="b">
        <x:v>0</x:v>
      </x:c>
      <x:c r="Z18" s="81" t="b">
        <x:v>0</x:v>
      </x:c>
      <x:c r="AA18" s="80" t="str">
        <x:v>medium</x:v>
      </x:c>
      <x:c r="AB18" s="80"/>
      <x:c r="AC18" s="80"/>
      <x:c r="AD18" s="83" t="n">
        <x:v>44140</x:v>
      </x:c>
      <x:c r="AE18" s="80" t="str">
        <x:v>2020-11-05</x:v>
      </x:c>
      <x:c r="AF18" s="80" t="str">
        <x:v>exact</x:v>
      </x:c>
      <x:c r="AG18" s="80" t="str">
        <x:v>Ryzen 9</x:v>
      </x:c>
      <x:c r="AH18" s="80" t="str">
        <x:v>Ryzen 5000</x:v>
      </x:c>
      <x:c r="AI18" s="86" t="n">
        <x:v>12</x:v>
      </x:c>
      <x:c r="AJ18" s="86" t="n">
        <x:v>0</x:v>
      </x:c>
      <x:c r="AK18" s="86"/>
      <x:c r="AL18" s="86" t="n">
        <x:v>38898</x:v>
      </x:c>
      <x:c r="AM18" s="86" t="n">
        <x:v>3465</x:v>
      </x:c>
      <x:c r="AN18" s="83" t="n">
        <x:v>46218</x:v>
      </x:c>
    </x:row>
    <x:row r="19">
      <x:c r="A19" s="82" t="str">
        <x:v>amd-ryzen-9-5900xt</x:v>
      </x:c>
      <x:c r="B19" s="80" t="str">
        <x:v>AMD</x:v>
      </x:c>
      <x:c r="C19" s="80" t="str">
        <x:v>Ryzen 9 5900XT</x:v>
      </x:c>
      <x:c r="D19" s="80" t="str">
        <x:v>AMD Ryzen 9 5900XT</x:v>
      </x:c>
      <x:c r="E19" s="80"/>
      <x:c r="F19" s="80"/>
      <x:c r="G19" s="80"/>
      <x:c r="H19" s="80"/>
      <x:c r="I19" s="80" t="str">
        <x:v>Ryzen 9 5900XT</x:v>
      </x:c>
      <x:c r="J19" s="80" t="str">
        <x:v>research_required</x:v>
      </x:c>
      <x:c r="K19" s="80" t="str">
        <x:v>unrated</x:v>
      </x:c>
      <x:c r="L19" s="83" t="n">
        <x:v>46218</x:v>
      </x:c>
      <x:c r="M19" s="14" t="str">
        <x:v>公式仕様とPassMark性能値を登録。ASIN/JAN、国内リテール品、保証条件、独立レビューは要確認。</x:v>
      </x:c>
      <x:c r="N19" s="14"/>
      <x:c r="O19" s="14"/>
      <x:c r="P19" s="14" t="str">
        <x:v>型番識別子・国内保証・販売形態を未確認</x:v>
      </x:c>
      <x:c r="Q19" s="14" t="str">
        <x:v>PassMarkスコアは2026-07-15確認時点。掲載値は更新されるため価格判定時に再確認してください。</x:v>
      </x:c>
      <x:c r="R19" s="80" t="str">
        <x:v>AM4</x:v>
      </x:c>
      <x:c r="S19" s="84" t="n">
        <x:v>16</x:v>
      </x:c>
      <x:c r="T19" s="84" t="n">
        <x:v>32</x:v>
      </x:c>
      <x:c r="U19" s="80" t="str">
        <x:v>Zen 3</x:v>
      </x:c>
      <x:c r="V19" s="85"/>
      <x:c r="W19" s="85" t="n">
        <x:v>105</x:v>
      </x:c>
      <x:c r="X19" s="80"/>
      <x:c r="Y19" s="81" t="b">
        <x:v>0</x:v>
      </x:c>
      <x:c r="Z19" s="81" t="b">
        <x:v>0</x:v>
      </x:c>
      <x:c r="AA19" s="80" t="str">
        <x:v>medium</x:v>
      </x:c>
      <x:c r="AB19" s="80"/>
      <x:c r="AC19" s="80"/>
      <x:c r="AD19" s="83"/>
      <x:c r="AE19" s="80" t="str">
        <x:v>2024-07</x:v>
      </x:c>
      <x:c r="AF19" s="80" t="str">
        <x:v>month</x:v>
      </x:c>
      <x:c r="AG19" s="80" t="str">
        <x:v>Ryzen 9</x:v>
      </x:c>
      <x:c r="AH19" s="80" t="str">
        <x:v>Ryzen 5000</x:v>
      </x:c>
      <x:c r="AI19" s="86" t="n">
        <x:v>16</x:v>
      </x:c>
      <x:c r="AJ19" s="86" t="n">
        <x:v>0</x:v>
      </x:c>
      <x:c r="AK19" s="86"/>
      <x:c r="AL19" s="86" t="n">
        <x:v>43774</x:v>
      </x:c>
      <x:c r="AM19" s="86" t="n">
        <x:v>3471</x:v>
      </x:c>
      <x:c r="AN19" s="83" t="n">
        <x:v>46218</x:v>
      </x:c>
    </x:row>
    <x:row r="20">
      <x:c r="A20" s="82" t="str">
        <x:v>amd-ryzen-9-5950x</x:v>
      </x:c>
      <x:c r="B20" s="80" t="str">
        <x:v>AMD</x:v>
      </x:c>
      <x:c r="C20" s="80" t="str">
        <x:v>Ryzen 9 5950X</x:v>
      </x:c>
      <x:c r="D20" s="80" t="str">
        <x:v>AMD Ryzen 9 5950X</x:v>
      </x:c>
      <x:c r="E20" s="80"/>
      <x:c r="F20" s="80"/>
      <x:c r="G20" s="80"/>
      <x:c r="H20" s="80"/>
      <x:c r="I20" s="80" t="str">
        <x:v>Ryzen 9 5950X</x:v>
      </x:c>
      <x:c r="J20" s="80" t="str">
        <x:v>research_required</x:v>
      </x:c>
      <x:c r="K20" s="80" t="str">
        <x:v>unrated</x:v>
      </x:c>
      <x:c r="L20" s="83" t="n">
        <x:v>46218</x:v>
      </x:c>
      <x:c r="M20" s="14" t="str">
        <x:v>公式仕様とPassMark性能値を登録。ASIN/JAN、国内リテール品、保証条件、独立レビューは要確認。</x:v>
      </x:c>
      <x:c r="N20" s="14"/>
      <x:c r="O20" s="14"/>
      <x:c r="P20" s="14" t="str">
        <x:v>型番識別子・国内保証・販売形態を未確認</x:v>
      </x:c>
      <x:c r="Q20" s="14" t="str">
        <x:v>PassMarkスコアは2026-07-15確認時点。掲載値は更新されるため価格判定時に再確認してください。</x:v>
      </x:c>
      <x:c r="R20" s="80" t="str">
        <x:v>AM4</x:v>
      </x:c>
      <x:c r="S20" s="84" t="n">
        <x:v>16</x:v>
      </x:c>
      <x:c r="T20" s="84" t="n">
        <x:v>32</x:v>
      </x:c>
      <x:c r="U20" s="80" t="str">
        <x:v>Zen 3</x:v>
      </x:c>
      <x:c r="V20" s="85"/>
      <x:c r="W20" s="85" t="n">
        <x:v>105</x:v>
      </x:c>
      <x:c r="X20" s="80"/>
      <x:c r="Y20" s="81" t="b">
        <x:v>0</x:v>
      </x:c>
      <x:c r="Z20" s="81" t="b">
        <x:v>0</x:v>
      </x:c>
      <x:c r="AA20" s="80" t="str">
        <x:v>medium</x:v>
      </x:c>
      <x:c r="AB20" s="80"/>
      <x:c r="AC20" s="80"/>
      <x:c r="AD20" s="83" t="n">
        <x:v>44140</x:v>
      </x:c>
      <x:c r="AE20" s="80" t="str">
        <x:v>2020-11-05</x:v>
      </x:c>
      <x:c r="AF20" s="80" t="str">
        <x:v>exact</x:v>
      </x:c>
      <x:c r="AG20" s="80" t="str">
        <x:v>Ryzen 9</x:v>
      </x:c>
      <x:c r="AH20" s="80" t="str">
        <x:v>Ryzen 5000</x:v>
      </x:c>
      <x:c r="AI20" s="86" t="n">
        <x:v>16</x:v>
      </x:c>
      <x:c r="AJ20" s="86" t="n">
        <x:v>0</x:v>
      </x:c>
      <x:c r="AK20" s="86"/>
      <x:c r="AL20" s="86" t="n">
        <x:v>45280</x:v>
      </x:c>
      <x:c r="AM20" s="86" t="n">
        <x:v>3476</x:v>
      </x:c>
      <x:c r="AN20" s="83" t="n">
        <x:v>46218</x:v>
      </x:c>
    </x:row>
    <x:row r="21">
      <x:c r="A21" s="82" t="str">
        <x:v>amd-ryzen-5-7500f</x:v>
      </x:c>
      <x:c r="B21" s="80" t="str">
        <x:v>AMD</x:v>
      </x:c>
      <x:c r="C21" s="80" t="str">
        <x:v>Ryzen 5 7500F</x:v>
      </x:c>
      <x:c r="D21" s="80" t="str">
        <x:v>AMD Ryzen 5 7500F</x:v>
      </x:c>
      <x:c r="E21" s="80"/>
      <x:c r="F21" s="80"/>
      <x:c r="G21" s="80"/>
      <x:c r="H21" s="80"/>
      <x:c r="I21" s="80" t="str">
        <x:v>Ryzen 5 7500F</x:v>
      </x:c>
      <x:c r="J21" s="80" t="str">
        <x:v>research_required</x:v>
      </x:c>
      <x:c r="K21" s="80" t="str">
        <x:v>unrated</x:v>
      </x:c>
      <x:c r="L21" s="83" t="n">
        <x:v>46218</x:v>
      </x:c>
      <x:c r="M21" s="14" t="str">
        <x:v>公式仕様とPassMark性能値を登録。ASIN/JAN、国内リテール品、保証条件、独立レビューは要確認。</x:v>
      </x:c>
      <x:c r="N21" s="14"/>
      <x:c r="O21" s="14"/>
      <x:c r="P21" s="14" t="str">
        <x:v>型番識別子・国内保証・販売形態を未確認</x:v>
      </x:c>
      <x:c r="Q21" s="14" t="str">
        <x:v>PassMarkスコアは2026-07-15確認時点。掲載値は更新されるため価格判定時に再確認してください。</x:v>
      </x:c>
      <x:c r="R21" s="80" t="str">
        <x:v>AM5 (LGA 1718)</x:v>
      </x:c>
      <x:c r="S21" s="84" t="n">
        <x:v>6</x:v>
      </x:c>
      <x:c r="T21" s="84" t="n">
        <x:v>12</x:v>
      </x:c>
      <x:c r="U21" s="80" t="str">
        <x:v>Zen 4</x:v>
      </x:c>
      <x:c r="V21" s="85"/>
      <x:c r="W21" s="85" t="n">
        <x:v>65</x:v>
      </x:c>
      <x:c r="X21" s="80"/>
      <x:c r="Y21" s="81" t="b">
        <x:v>0</x:v>
      </x:c>
      <x:c r="Z21" s="81" t="b">
        <x:v>0</x:v>
      </x:c>
      <x:c r="AA21" s="80" t="str">
        <x:v>low</x:v>
      </x:c>
      <x:c r="AB21" s="80"/>
      <x:c r="AC21" s="80"/>
      <x:c r="AD21" s="83"/>
      <x:c r="AE21" s="80" t="str">
        <x:v>Q3'23</x:v>
      </x:c>
      <x:c r="AF21" s="80" t="str">
        <x:v>quarter</x:v>
      </x:c>
      <x:c r="AG21" s="80" t="str">
        <x:v>Ryzen 5</x:v>
      </x:c>
      <x:c r="AH21" s="80" t="str">
        <x:v>Ryzen 7000</x:v>
      </x:c>
      <x:c r="AI21" s="86" t="n">
        <x:v>6</x:v>
      </x:c>
      <x:c r="AJ21" s="86" t="n">
        <x:v>0</x:v>
      </x:c>
      <x:c r="AK21" s="86"/>
      <x:c r="AL21" s="86" t="n">
        <x:v>26544</x:v>
      </x:c>
      <x:c r="AM21" s="86" t="n">
        <x:v>3826</x:v>
      </x:c>
      <x:c r="AN21" s="83" t="n">
        <x:v>46218</x:v>
      </x:c>
    </x:row>
    <x:row r="22">
      <x:c r="A22" s="82" t="str">
        <x:v>amd-ryzen-5-7600</x:v>
      </x:c>
      <x:c r="B22" s="80" t="str">
        <x:v>AMD</x:v>
      </x:c>
      <x:c r="C22" s="80" t="str">
        <x:v>Ryzen 5 7600</x:v>
      </x:c>
      <x:c r="D22" s="80" t="str">
        <x:v>AMD Ryzen 5 7600</x:v>
      </x:c>
      <x:c r="E22" s="80"/>
      <x:c r="F22" s="80"/>
      <x:c r="G22" s="80"/>
      <x:c r="H22" s="80"/>
      <x:c r="I22" s="80" t="str">
        <x:v>Ryzen 5 7600</x:v>
      </x:c>
      <x:c r="J22" s="80" t="str">
        <x:v>research_required</x:v>
      </x:c>
      <x:c r="K22" s="80" t="str">
        <x:v>unrated</x:v>
      </x:c>
      <x:c r="L22" s="83" t="n">
        <x:v>46218</x:v>
      </x:c>
      <x:c r="M22" s="14" t="str">
        <x:v>公式仕様とPassMark性能値を登録。ASIN/JAN、国内リテール品、保証条件、独立レビューは要確認。</x:v>
      </x:c>
      <x:c r="N22" s="14"/>
      <x:c r="O22" s="14"/>
      <x:c r="P22" s="14" t="str">
        <x:v>型番識別子・国内保証・販売形態を未確認</x:v>
      </x:c>
      <x:c r="Q22" s="14" t="str">
        <x:v>PassMarkスコアは2026-07-15確認時点。掲載値は更新されるため価格判定時に再確認してください。</x:v>
      </x:c>
      <x:c r="R22" s="80" t="str">
        <x:v>AM5 (LGA 1718)</x:v>
      </x:c>
      <x:c r="S22" s="84" t="n">
        <x:v>6</x:v>
      </x:c>
      <x:c r="T22" s="84" t="n">
        <x:v>12</x:v>
      </x:c>
      <x:c r="U22" s="80" t="str">
        <x:v>Zen 4</x:v>
      </x:c>
      <x:c r="V22" s="85"/>
      <x:c r="W22" s="85" t="n">
        <x:v>65</x:v>
      </x:c>
      <x:c r="X22" s="80"/>
      <x:c r="Y22" s="81" t="b">
        <x:v>0</x:v>
      </x:c>
      <x:c r="Z22" s="81" t="b">
        <x:v>1</x:v>
      </x:c>
      <x:c r="AA22" s="80" t="str">
        <x:v>low</x:v>
      </x:c>
      <x:c r="AB22" s="80"/>
      <x:c r="AC22" s="80"/>
      <x:c r="AD22" s="83" t="n">
        <x:v>44936</x:v>
      </x:c>
      <x:c r="AE22" s="80" t="str">
        <x:v>2023-01-10</x:v>
      </x:c>
      <x:c r="AF22" s="80" t="str">
        <x:v>exact</x:v>
      </x:c>
      <x:c r="AG22" s="80" t="str">
        <x:v>Ryzen 5</x:v>
      </x:c>
      <x:c r="AH22" s="80" t="str">
        <x:v>Ryzen 7000</x:v>
      </x:c>
      <x:c r="AI22" s="86" t="n">
        <x:v>6</x:v>
      </x:c>
      <x:c r="AJ22" s="86" t="n">
        <x:v>0</x:v>
      </x:c>
      <x:c r="AK22" s="86"/>
      <x:c r="AL22" s="86" t="n">
        <x:v>26977</x:v>
      </x:c>
      <x:c r="AM22" s="86" t="n">
        <x:v>3908</x:v>
      </x:c>
      <x:c r="AN22" s="83" t="n">
        <x:v>46218</x:v>
      </x:c>
    </x:row>
    <x:row r="23">
      <x:c r="A23" s="82" t="str">
        <x:v>amd-ryzen-5-7600x</x:v>
      </x:c>
      <x:c r="B23" s="80" t="str">
        <x:v>AMD</x:v>
      </x:c>
      <x:c r="C23" s="80" t="str">
        <x:v>Ryzen 5 7600X</x:v>
      </x:c>
      <x:c r="D23" s="80" t="str">
        <x:v>AMD Ryzen 5 7600X</x:v>
      </x:c>
      <x:c r="E23" s="80"/>
      <x:c r="F23" s="80"/>
      <x:c r="G23" s="80"/>
      <x:c r="H23" s="80"/>
      <x:c r="I23" s="80" t="str">
        <x:v>Ryzen 5 7600X</x:v>
      </x:c>
      <x:c r="J23" s="80" t="str">
        <x:v>research_required</x:v>
      </x:c>
      <x:c r="K23" s="80" t="str">
        <x:v>unrated</x:v>
      </x:c>
      <x:c r="L23" s="83" t="n">
        <x:v>46218</x:v>
      </x:c>
      <x:c r="M23" s="14" t="str">
        <x:v>公式仕様とPassMark性能値を登録。ASIN/JAN、国内リテール品、保証条件、独立レビューは要確認。</x:v>
      </x:c>
      <x:c r="N23" s="14"/>
      <x:c r="O23" s="14"/>
      <x:c r="P23" s="14" t="str">
        <x:v>型番識別子・国内保証・販売形態を未確認</x:v>
      </x:c>
      <x:c r="Q23" s="14" t="str">
        <x:v>PassMarkスコアは2026-07-15確認時点。掲載値は更新されるため価格判定時に再確認してください。</x:v>
      </x:c>
      <x:c r="R23" s="80" t="str">
        <x:v>AM5</x:v>
      </x:c>
      <x:c r="S23" s="84" t="n">
        <x:v>6</x:v>
      </x:c>
      <x:c r="T23" s="84" t="n">
        <x:v>12</x:v>
      </x:c>
      <x:c r="U23" s="80" t="str">
        <x:v>Zen 4</x:v>
      </x:c>
      <x:c r="V23" s="85"/>
      <x:c r="W23" s="85" t="n">
        <x:v>105</x:v>
      </x:c>
      <x:c r="X23" s="80"/>
      <x:c r="Y23" s="81" t="b">
        <x:v>0</x:v>
      </x:c>
      <x:c r="Z23" s="81" t="b">
        <x:v>1</x:v>
      </x:c>
      <x:c r="AA23" s="80" t="str">
        <x:v>medium</x:v>
      </x:c>
      <x:c r="AB23" s="80"/>
      <x:c r="AC23" s="80"/>
      <x:c r="AD23" s="83" t="n">
        <x:v>44831</x:v>
      </x:c>
      <x:c r="AE23" s="80" t="str">
        <x:v>2022-09-27</x:v>
      </x:c>
      <x:c r="AF23" s="80" t="str">
        <x:v>exact</x:v>
      </x:c>
      <x:c r="AG23" s="80" t="str">
        <x:v>Ryzen 5</x:v>
      </x:c>
      <x:c r="AH23" s="80" t="str">
        <x:v>Ryzen 7000</x:v>
      </x:c>
      <x:c r="AI23" s="86" t="n">
        <x:v>6</x:v>
      </x:c>
      <x:c r="AJ23" s="86" t="n">
        <x:v>0</x:v>
      </x:c>
      <x:c r="AK23" s="86"/>
      <x:c r="AL23" s="86" t="n">
        <x:v>28283</x:v>
      </x:c>
      <x:c r="AM23" s="86" t="n">
        <x:v>4130</x:v>
      </x:c>
      <x:c r="AN23" s="83" t="n">
        <x:v>46218</x:v>
      </x:c>
    </x:row>
    <x:row r="24">
      <x:c r="A24" s="82" t="str">
        <x:v>amd-ryzen-7-7700</x:v>
      </x:c>
      <x:c r="B24" s="80" t="str">
        <x:v>AMD</x:v>
      </x:c>
      <x:c r="C24" s="80" t="str">
        <x:v>Ryzen 7 7700</x:v>
      </x:c>
      <x:c r="D24" s="80" t="str">
        <x:v>AMD Ryzen 7 7700</x:v>
      </x:c>
      <x:c r="E24" s="80"/>
      <x:c r="F24" s="80"/>
      <x:c r="G24" s="80"/>
      <x:c r="H24" s="80"/>
      <x:c r="I24" s="80" t="str">
        <x:v>Ryzen 7 7700</x:v>
      </x:c>
      <x:c r="J24" s="80" t="str">
        <x:v>research_required</x:v>
      </x:c>
      <x:c r="K24" s="80" t="str">
        <x:v>unrated</x:v>
      </x:c>
      <x:c r="L24" s="83" t="n">
        <x:v>46218</x:v>
      </x:c>
      <x:c r="M24" s="14" t="str">
        <x:v>公式仕様とPassMark性能値を登録。ASIN/JAN、国内リテール品、保証条件、独立レビューは要確認。</x:v>
      </x:c>
      <x:c r="N24" s="14"/>
      <x:c r="O24" s="14"/>
      <x:c r="P24" s="14" t="str">
        <x:v>型番識別子・国内保証・販売形態を未確認</x:v>
      </x:c>
      <x:c r="Q24" s="14" t="str">
        <x:v>PassMarkスコアは2026-07-15確認時点。掲載値は更新されるため価格判定時に再確認してください。</x:v>
      </x:c>
      <x:c r="R24" s="80" t="str">
        <x:v>AM5</x:v>
      </x:c>
      <x:c r="S24" s="84" t="n">
        <x:v>8</x:v>
      </x:c>
      <x:c r="T24" s="84" t="n">
        <x:v>16</x:v>
      </x:c>
      <x:c r="U24" s="80" t="str">
        <x:v>Zen 4</x:v>
      </x:c>
      <x:c r="V24" s="85"/>
      <x:c r="W24" s="85" t="n">
        <x:v>65</x:v>
      </x:c>
      <x:c r="X24" s="80"/>
      <x:c r="Y24" s="81" t="b">
        <x:v>0</x:v>
      </x:c>
      <x:c r="Z24" s="81" t="b">
        <x:v>1</x:v>
      </x:c>
      <x:c r="AA24" s="80" t="str">
        <x:v>low</x:v>
      </x:c>
      <x:c r="AB24" s="80"/>
      <x:c r="AC24" s="80"/>
      <x:c r="AD24" s="83" t="n">
        <x:v>44936</x:v>
      </x:c>
      <x:c r="AE24" s="80" t="str">
        <x:v>2023-01-10</x:v>
      </x:c>
      <x:c r="AF24" s="80" t="str">
        <x:v>exact</x:v>
      </x:c>
      <x:c r="AG24" s="80" t="str">
        <x:v>Ryzen 7</x:v>
      </x:c>
      <x:c r="AH24" s="80" t="str">
        <x:v>Ryzen 7000</x:v>
      </x:c>
      <x:c r="AI24" s="86" t="n">
        <x:v>8</x:v>
      </x:c>
      <x:c r="AJ24" s="86" t="n">
        <x:v>0</x:v>
      </x:c>
      <x:c r="AK24" s="86"/>
      <x:c r="AL24" s="86" t="n">
        <x:v>34334</x:v>
      </x:c>
      <x:c r="AM24" s="86" t="n">
        <x:v>4051</x:v>
      </x:c>
      <x:c r="AN24" s="83" t="n">
        <x:v>46218</x:v>
      </x:c>
    </x:row>
    <x:row r="25">
      <x:c r="A25" s="82" t="str">
        <x:v>amd-ryzen-7-7700x</x:v>
      </x:c>
      <x:c r="B25" s="80" t="str">
        <x:v>AMD</x:v>
      </x:c>
      <x:c r="C25" s="80" t="str">
        <x:v>Ryzen 7 7700X</x:v>
      </x:c>
      <x:c r="D25" s="80" t="str">
        <x:v>AMD Ryzen 7 7700X</x:v>
      </x:c>
      <x:c r="E25" s="80"/>
      <x:c r="F25" s="80"/>
      <x:c r="G25" s="80"/>
      <x:c r="H25" s="80"/>
      <x:c r="I25" s="80" t="str">
        <x:v>Ryzen 7 7700X</x:v>
      </x:c>
      <x:c r="J25" s="80" t="str">
        <x:v>research_required</x:v>
      </x:c>
      <x:c r="K25" s="80" t="str">
        <x:v>unrated</x:v>
      </x:c>
      <x:c r="L25" s="83" t="n">
        <x:v>46218</x:v>
      </x:c>
      <x:c r="M25" s="14" t="str">
        <x:v>公式仕様とPassMark性能値を登録。ASIN/JAN、国内リテール品、保証条件、独立レビューは要確認。</x:v>
      </x:c>
      <x:c r="N25" s="14"/>
      <x:c r="O25" s="14"/>
      <x:c r="P25" s="14" t="str">
        <x:v>型番識別子・国内保証・販売形態を未確認</x:v>
      </x:c>
      <x:c r="Q25" s="14" t="str">
        <x:v>PassMarkスコアは2026-07-15確認時点。掲載値は更新されるため価格判定時に再確認してください。</x:v>
      </x:c>
      <x:c r="R25" s="80" t="str">
        <x:v>AM5</x:v>
      </x:c>
      <x:c r="S25" s="84" t="n">
        <x:v>8</x:v>
      </x:c>
      <x:c r="T25" s="84" t="n">
        <x:v>16</x:v>
      </x:c>
      <x:c r="U25" s="80" t="str">
        <x:v>Zen 4</x:v>
      </x:c>
      <x:c r="V25" s="85"/>
      <x:c r="W25" s="85" t="n">
        <x:v>105</x:v>
      </x:c>
      <x:c r="X25" s="80"/>
      <x:c r="Y25" s="81" t="b">
        <x:v>0</x:v>
      </x:c>
      <x:c r="Z25" s="81" t="b">
        <x:v>1</x:v>
      </x:c>
      <x:c r="AA25" s="80" t="str">
        <x:v>medium</x:v>
      </x:c>
      <x:c r="AB25" s="80"/>
      <x:c r="AC25" s="80"/>
      <x:c r="AD25" s="83" t="n">
        <x:v>44831</x:v>
      </x:c>
      <x:c r="AE25" s="80" t="str">
        <x:v>2022-09-27</x:v>
      </x:c>
      <x:c r="AF25" s="80" t="str">
        <x:v>exact</x:v>
      </x:c>
      <x:c r="AG25" s="80" t="str">
        <x:v>Ryzen 7</x:v>
      </x:c>
      <x:c r="AH25" s="80" t="str">
        <x:v>Ryzen 7000</x:v>
      </x:c>
      <x:c r="AI25" s="86" t="n">
        <x:v>8</x:v>
      </x:c>
      <x:c r="AJ25" s="86" t="n">
        <x:v>0</x:v>
      </x:c>
      <x:c r="AK25" s="86"/>
      <x:c r="AL25" s="86" t="n">
        <x:v>35513</x:v>
      </x:c>
      <x:c r="AM25" s="86" t="n">
        <x:v>4177</x:v>
      </x:c>
      <x:c r="AN25" s="83" t="n">
        <x:v>46218</x:v>
      </x:c>
    </x:row>
    <x:row r="26">
      <x:c r="A26" s="82" t="str">
        <x:v>amd-ryzen-7-7800x3d</x:v>
      </x:c>
      <x:c r="B26" s="80" t="str">
        <x:v>AMD</x:v>
      </x:c>
      <x:c r="C26" s="80" t="str">
        <x:v>Ryzen 7 7800X3D</x:v>
      </x:c>
      <x:c r="D26" s="80" t="str">
        <x:v>AMD Ryzen 7 7800X3D</x:v>
      </x:c>
      <x:c r="E26" s="80"/>
      <x:c r="F26" s="80"/>
      <x:c r="G26" s="80"/>
      <x:c r="H26" s="80"/>
      <x:c r="I26" s="80" t="str">
        <x:v>Ryzen 7 7800X3D</x:v>
      </x:c>
      <x:c r="J26" s="80" t="str">
        <x:v>research_required</x:v>
      </x:c>
      <x:c r="K26" s="80" t="str">
        <x:v>unrated</x:v>
      </x:c>
      <x:c r="L26" s="83" t="n">
        <x:v>46218</x:v>
      </x:c>
      <x:c r="M26" s="14" t="str">
        <x:v>公式仕様とPassMark性能値を登録。ASIN/JAN、国内リテール品、保証条件、独立レビューは要確認。</x:v>
      </x:c>
      <x:c r="N26" s="14"/>
      <x:c r="O26" s="14"/>
      <x:c r="P26" s="14" t="str">
        <x:v>型番識別子・国内保証・販売形態を未確認</x:v>
      </x:c>
      <x:c r="Q26" s="14" t="str">
        <x:v>PassMarkスコアは2026-07-15確認時点。掲載値は更新されるため価格判定時に再確認してください。</x:v>
      </x:c>
      <x:c r="R26" s="80" t="str">
        <x:v>AM5</x:v>
      </x:c>
      <x:c r="S26" s="84" t="n">
        <x:v>8</x:v>
      </x:c>
      <x:c r="T26" s="84" t="n">
        <x:v>16</x:v>
      </x:c>
      <x:c r="U26" s="80" t="str">
        <x:v>Zen 4</x:v>
      </x:c>
      <x:c r="V26" s="85"/>
      <x:c r="W26" s="85" t="n">
        <x:v>120</x:v>
      </x:c>
      <x:c r="X26" s="80"/>
      <x:c r="Y26" s="81" t="b">
        <x:v>1</x:v>
      </x:c>
      <x:c r="Z26" s="81" t="b">
        <x:v>1</x:v>
      </x:c>
      <x:c r="AA26" s="80" t="str">
        <x:v>medium</x:v>
      </x:c>
      <x:c r="AB26" s="80"/>
      <x:c r="AC26" s="80"/>
      <x:c r="AD26" s="83" t="n">
        <x:v>45022</x:v>
      </x:c>
      <x:c r="AE26" s="80" t="str">
        <x:v>2023-04-06</x:v>
      </x:c>
      <x:c r="AF26" s="80" t="str">
        <x:v>exact</x:v>
      </x:c>
      <x:c r="AG26" s="80" t="str">
        <x:v>Ryzen 7</x:v>
      </x:c>
      <x:c r="AH26" s="80" t="str">
        <x:v>Ryzen 7000</x:v>
      </x:c>
      <x:c r="AI26" s="86" t="n">
        <x:v>8</x:v>
      </x:c>
      <x:c r="AJ26" s="86" t="n">
        <x:v>0</x:v>
      </x:c>
      <x:c r="AK26" s="86"/>
      <x:c r="AL26" s="86" t="n">
        <x:v>34278</x:v>
      </x:c>
      <x:c r="AM26" s="86" t="n">
        <x:v>3760</x:v>
      </x:c>
      <x:c r="AN26" s="83" t="n">
        <x:v>46218</x:v>
      </x:c>
    </x:row>
    <x:row r="27">
      <x:c r="A27" s="82" t="str">
        <x:v>amd-ryzen-9-7900</x:v>
      </x:c>
      <x:c r="B27" s="80" t="str">
        <x:v>AMD</x:v>
      </x:c>
      <x:c r="C27" s="80" t="str">
        <x:v>Ryzen 9 7900</x:v>
      </x:c>
      <x:c r="D27" s="80" t="str">
        <x:v>AMD Ryzen 9 7900</x:v>
      </x:c>
      <x:c r="E27" s="80"/>
      <x:c r="F27" s="80"/>
      <x:c r="G27" s="80"/>
      <x:c r="H27" s="80"/>
      <x:c r="I27" s="80" t="str">
        <x:v>Ryzen 9 7900</x:v>
      </x:c>
      <x:c r="J27" s="80" t="str">
        <x:v>research_required</x:v>
      </x:c>
      <x:c r="K27" s="80" t="str">
        <x:v>unrated</x:v>
      </x:c>
      <x:c r="L27" s="83" t="n">
        <x:v>46218</x:v>
      </x:c>
      <x:c r="M27" s="14" t="str">
        <x:v>公式仕様とPassMark性能値を登録。ASIN/JAN、国内リテール品、保証条件、独立レビューは要確認。</x:v>
      </x:c>
      <x:c r="N27" s="14"/>
      <x:c r="O27" s="14"/>
      <x:c r="P27" s="14" t="str">
        <x:v>型番識別子・国内保証・販売形態を未確認</x:v>
      </x:c>
      <x:c r="Q27" s="14" t="str">
        <x:v>PassMarkスコアは2026-07-15確認時点。掲載値は更新されるため価格判定時に再確認してください。</x:v>
      </x:c>
      <x:c r="R27" s="80" t="str">
        <x:v>AM5</x:v>
      </x:c>
      <x:c r="S27" s="84" t="n">
        <x:v>12</x:v>
      </x:c>
      <x:c r="T27" s="84" t="n">
        <x:v>24</x:v>
      </x:c>
      <x:c r="U27" s="80" t="str">
        <x:v>Zen 4</x:v>
      </x:c>
      <x:c r="V27" s="85"/>
      <x:c r="W27" s="85" t="n">
        <x:v>65</x:v>
      </x:c>
      <x:c r="X27" s="80"/>
      <x:c r="Y27" s="81" t="b">
        <x:v>0</x:v>
      </x:c>
      <x:c r="Z27" s="81" t="b">
        <x:v>1</x:v>
      </x:c>
      <x:c r="AA27" s="80" t="str">
        <x:v>low</x:v>
      </x:c>
      <x:c r="AB27" s="80"/>
      <x:c r="AC27" s="80"/>
      <x:c r="AD27" s="83" t="n">
        <x:v>44936</x:v>
      </x:c>
      <x:c r="AE27" s="80" t="str">
        <x:v>2023-01-10</x:v>
      </x:c>
      <x:c r="AF27" s="80" t="str">
        <x:v>exact</x:v>
      </x:c>
      <x:c r="AG27" s="80" t="str">
        <x:v>Ryzen 9</x:v>
      </x:c>
      <x:c r="AH27" s="80" t="str">
        <x:v>Ryzen 7000</x:v>
      </x:c>
      <x:c r="AI27" s="86" t="n">
        <x:v>12</x:v>
      </x:c>
      <x:c r="AJ27" s="86" t="n">
        <x:v>0</x:v>
      </x:c>
      <x:c r="AK27" s="86"/>
      <x:c r="AL27" s="86" t="n">
        <x:v>48041</x:v>
      </x:c>
      <x:c r="AM27" s="86" t="n">
        <x:v>4122</x:v>
      </x:c>
      <x:c r="AN27" s="83" t="n">
        <x:v>46218</x:v>
      </x:c>
    </x:row>
    <x:row r="28">
      <x:c r="A28" s="82" t="str">
        <x:v>amd-ryzen-9-7900x</x:v>
      </x:c>
      <x:c r="B28" s="80" t="str">
        <x:v>AMD</x:v>
      </x:c>
      <x:c r="C28" s="80" t="str">
        <x:v>Ryzen 9 7900X</x:v>
      </x:c>
      <x:c r="D28" s="80" t="str">
        <x:v>AMD Ryzen 9 7900X</x:v>
      </x:c>
      <x:c r="E28" s="80"/>
      <x:c r="F28" s="80"/>
      <x:c r="G28" s="80"/>
      <x:c r="H28" s="80"/>
      <x:c r="I28" s="80" t="str">
        <x:v>Ryzen 9 7900X</x:v>
      </x:c>
      <x:c r="J28" s="80" t="str">
        <x:v>research_required</x:v>
      </x:c>
      <x:c r="K28" s="80" t="str">
        <x:v>unrated</x:v>
      </x:c>
      <x:c r="L28" s="83" t="n">
        <x:v>46218</x:v>
      </x:c>
      <x:c r="M28" s="14" t="str">
        <x:v>公式仕様とPassMark性能値を登録。ASIN/JAN、国内リテール品、保証条件、独立レビューは要確認。</x:v>
      </x:c>
      <x:c r="N28" s="14"/>
      <x:c r="O28" s="14"/>
      <x:c r="P28" s="14" t="str">
        <x:v>型番識別子・国内保証・販売形態を未確認</x:v>
      </x:c>
      <x:c r="Q28" s="14" t="str">
        <x:v>PassMarkスコアは2026-07-15確認時点。掲載値は更新されるため価格判定時に再確認してください。</x:v>
      </x:c>
      <x:c r="R28" s="80" t="str">
        <x:v>AM5</x:v>
      </x:c>
      <x:c r="S28" s="84" t="n">
        <x:v>12</x:v>
      </x:c>
      <x:c r="T28" s="84" t="n">
        <x:v>24</x:v>
      </x:c>
      <x:c r="U28" s="80" t="str">
        <x:v>Zen 4</x:v>
      </x:c>
      <x:c r="V28" s="85"/>
      <x:c r="W28" s="85" t="n">
        <x:v>170</x:v>
      </x:c>
      <x:c r="X28" s="80"/>
      <x:c r="Y28" s="81" t="b">
        <x:v>0</x:v>
      </x:c>
      <x:c r="Z28" s="81" t="b">
        <x:v>1</x:v>
      </x:c>
      <x:c r="AA28" s="80" t="str">
        <x:v>high</x:v>
      </x:c>
      <x:c r="AB28" s="80"/>
      <x:c r="AC28" s="80"/>
      <x:c r="AD28" s="83" t="n">
        <x:v>44831</x:v>
      </x:c>
      <x:c r="AE28" s="80" t="str">
        <x:v>2022-09-27</x:v>
      </x:c>
      <x:c r="AF28" s="80" t="str">
        <x:v>exact</x:v>
      </x:c>
      <x:c r="AG28" s="80" t="str">
        <x:v>Ryzen 9</x:v>
      </x:c>
      <x:c r="AH28" s="80" t="str">
        <x:v>Ryzen 7000</x:v>
      </x:c>
      <x:c r="AI28" s="86" t="n">
        <x:v>12</x:v>
      </x:c>
      <x:c r="AJ28" s="86" t="n">
        <x:v>0</x:v>
      </x:c>
      <x:c r="AK28" s="86"/>
      <x:c r="AL28" s="86" t="n">
        <x:v>51250</x:v>
      </x:c>
      <x:c r="AM28" s="86" t="n">
        <x:v>4227</x:v>
      </x:c>
      <x:c r="AN28" s="83" t="n">
        <x:v>46218</x:v>
      </x:c>
    </x:row>
    <x:row r="29">
      <x:c r="A29" s="82" t="str">
        <x:v>amd-ryzen-9-7900x3d</x:v>
      </x:c>
      <x:c r="B29" s="80" t="str">
        <x:v>AMD</x:v>
      </x:c>
      <x:c r="C29" s="80" t="str">
        <x:v>Ryzen 9 7900X3D</x:v>
      </x:c>
      <x:c r="D29" s="80" t="str">
        <x:v>AMD Ryzen 9 7900X3D</x:v>
      </x:c>
      <x:c r="E29" s="80"/>
      <x:c r="F29" s="80"/>
      <x:c r="G29" s="80"/>
      <x:c r="H29" s="80"/>
      <x:c r="I29" s="80" t="str">
        <x:v>Ryzen 9 7900X3D</x:v>
      </x:c>
      <x:c r="J29" s="80" t="str">
        <x:v>research_required</x:v>
      </x:c>
      <x:c r="K29" s="80" t="str">
        <x:v>unrated</x:v>
      </x:c>
      <x:c r="L29" s="83" t="n">
        <x:v>46218</x:v>
      </x:c>
      <x:c r="M29" s="14" t="str">
        <x:v>公式仕様とPassMark性能値を登録。ASIN/JAN、国内リテール品、保証条件、独立レビューは要確認。</x:v>
      </x:c>
      <x:c r="N29" s="14"/>
      <x:c r="O29" s="14"/>
      <x:c r="P29" s="14" t="str">
        <x:v>型番識別子・国内保証・販売形態を未確認</x:v>
      </x:c>
      <x:c r="Q29" s="14" t="str">
        <x:v>PassMarkスコアは2026-07-15確認時点。掲載値は更新されるため価格判定時に再確認してください。</x:v>
      </x:c>
      <x:c r="R29" s="80" t="str">
        <x:v>AM5 (LGA 1718)</x:v>
      </x:c>
      <x:c r="S29" s="84" t="n">
        <x:v>12</x:v>
      </x:c>
      <x:c r="T29" s="84" t="n">
        <x:v>24</x:v>
      </x:c>
      <x:c r="U29" s="80" t="str">
        <x:v>Zen 4</x:v>
      </x:c>
      <x:c r="V29" s="85"/>
      <x:c r="W29" s="85" t="n">
        <x:v>120</x:v>
      </x:c>
      <x:c r="X29" s="80"/>
      <x:c r="Y29" s="81" t="b">
        <x:v>1</x:v>
      </x:c>
      <x:c r="Z29" s="81" t="b">
        <x:v>1</x:v>
      </x:c>
      <x:c r="AA29" s="80" t="str">
        <x:v>medium</x:v>
      </x:c>
      <x:c r="AB29" s="80"/>
      <x:c r="AC29" s="80"/>
      <x:c r="AD29" s="83" t="n">
        <x:v>44985</x:v>
      </x:c>
      <x:c r="AE29" s="80" t="str">
        <x:v>2023-02-28</x:v>
      </x:c>
      <x:c r="AF29" s="80" t="str">
        <x:v>exact</x:v>
      </x:c>
      <x:c r="AG29" s="80" t="str">
        <x:v>Ryzen 9</x:v>
      </x:c>
      <x:c r="AH29" s="80" t="str">
        <x:v>Ryzen 7000</x:v>
      </x:c>
      <x:c r="AI29" s="86" t="n">
        <x:v>12</x:v>
      </x:c>
      <x:c r="AJ29" s="86" t="n">
        <x:v>0</x:v>
      </x:c>
      <x:c r="AK29" s="86"/>
      <x:c r="AL29" s="86" t="n">
        <x:v>50202</x:v>
      </x:c>
      <x:c r="AM29" s="86" t="n">
        <x:v>4118</x:v>
      </x:c>
      <x:c r="AN29" s="83" t="n">
        <x:v>46218</x:v>
      </x:c>
    </x:row>
    <x:row r="30">
      <x:c r="A30" s="82" t="str">
        <x:v>amd-ryzen-9-7950x</x:v>
      </x:c>
      <x:c r="B30" s="80" t="str">
        <x:v>AMD</x:v>
      </x:c>
      <x:c r="C30" s="80" t="str">
        <x:v>Ryzen 9 7950X</x:v>
      </x:c>
      <x:c r="D30" s="80" t="str">
        <x:v>AMD Ryzen 9 7950X</x:v>
      </x:c>
      <x:c r="E30" s="80"/>
      <x:c r="F30" s="80"/>
      <x:c r="G30" s="80"/>
      <x:c r="H30" s="80"/>
      <x:c r="I30" s="80" t="str">
        <x:v>Ryzen 9 7950X</x:v>
      </x:c>
      <x:c r="J30" s="80" t="str">
        <x:v>research_required</x:v>
      </x:c>
      <x:c r="K30" s="80" t="str">
        <x:v>unrated</x:v>
      </x:c>
      <x:c r="L30" s="83" t="n">
        <x:v>46218</x:v>
      </x:c>
      <x:c r="M30" s="14" t="str">
        <x:v>公式仕様とPassMark性能値を登録。ASIN/JAN、国内リテール品、保証条件、独立レビューは要確認。</x:v>
      </x:c>
      <x:c r="N30" s="14"/>
      <x:c r="O30" s="14"/>
      <x:c r="P30" s="14" t="str">
        <x:v>型番識別子・国内保証・販売形態を未確認</x:v>
      </x:c>
      <x:c r="Q30" s="14" t="str">
        <x:v>PassMarkスコアは2026-07-15確認時点。掲載値は更新されるため価格判定時に再確認してください。</x:v>
      </x:c>
      <x:c r="R30" s="80" t="str">
        <x:v>AM5</x:v>
      </x:c>
      <x:c r="S30" s="84" t="n">
        <x:v>16</x:v>
      </x:c>
      <x:c r="T30" s="84" t="n">
        <x:v>32</x:v>
      </x:c>
      <x:c r="U30" s="80" t="str">
        <x:v>Zen 4</x:v>
      </x:c>
      <x:c r="V30" s="85"/>
      <x:c r="W30" s="85" t="n">
        <x:v>170</x:v>
      </x:c>
      <x:c r="X30" s="80"/>
      <x:c r="Y30" s="81" t="b">
        <x:v>0</x:v>
      </x:c>
      <x:c r="Z30" s="81" t="b">
        <x:v>1</x:v>
      </x:c>
      <x:c r="AA30" s="80" t="str">
        <x:v>high</x:v>
      </x:c>
      <x:c r="AB30" s="80"/>
      <x:c r="AC30" s="80"/>
      <x:c r="AD30" s="83" t="n">
        <x:v>44831</x:v>
      </x:c>
      <x:c r="AE30" s="80" t="str">
        <x:v>2022-09-27</x:v>
      </x:c>
      <x:c r="AF30" s="80" t="str">
        <x:v>exact</x:v>
      </x:c>
      <x:c r="AG30" s="80" t="str">
        <x:v>Ryzen 9</x:v>
      </x:c>
      <x:c r="AH30" s="80" t="str">
        <x:v>Ryzen 7000</x:v>
      </x:c>
      <x:c r="AI30" s="86" t="n">
        <x:v>16</x:v>
      </x:c>
      <x:c r="AJ30" s="86" t="n">
        <x:v>0</x:v>
      </x:c>
      <x:c r="AK30" s="86"/>
      <x:c r="AL30" s="86" t="n">
        <x:v>62175</x:v>
      </x:c>
      <x:c r="AM30" s="86" t="n">
        <x:v>4253</x:v>
      </x:c>
      <x:c r="AN30" s="83" t="n">
        <x:v>46218</x:v>
      </x:c>
    </x:row>
    <x:row r="31">
      <x:c r="A31" s="82" t="str">
        <x:v>amd-ryzen-9-7950x3d</x:v>
      </x:c>
      <x:c r="B31" s="80" t="str">
        <x:v>AMD</x:v>
      </x:c>
      <x:c r="C31" s="80" t="str">
        <x:v>Ryzen 9 7950X3D</x:v>
      </x:c>
      <x:c r="D31" s="80" t="str">
        <x:v>AMD Ryzen 9 7950X3D</x:v>
      </x:c>
      <x:c r="E31" s="80"/>
      <x:c r="F31" s="80"/>
      <x:c r="G31" s="80"/>
      <x:c r="H31" s="80"/>
      <x:c r="I31" s="80" t="str">
        <x:v>Ryzen 9 7950X3D</x:v>
      </x:c>
      <x:c r="J31" s="80" t="str">
        <x:v>research_required</x:v>
      </x:c>
      <x:c r="K31" s="80" t="str">
        <x:v>unrated</x:v>
      </x:c>
      <x:c r="L31" s="83" t="n">
        <x:v>46218</x:v>
      </x:c>
      <x:c r="M31" s="14" t="str">
        <x:v>公式仕様とPassMark性能値を登録。ASIN/JAN、国内リテール品、保証条件、独立レビューは要確認。</x:v>
      </x:c>
      <x:c r="N31" s="14"/>
      <x:c r="O31" s="14"/>
      <x:c r="P31" s="14" t="str">
        <x:v>型番識別子・国内保証・販売形態を未確認</x:v>
      </x:c>
      <x:c r="Q31" s="14" t="str">
        <x:v>PassMarkスコアは2026-07-15確認時点。掲載値は更新されるため価格判定時に再確認してください。</x:v>
      </x:c>
      <x:c r="R31" s="80" t="str">
        <x:v>AM5</x:v>
      </x:c>
      <x:c r="S31" s="84" t="n">
        <x:v>16</x:v>
      </x:c>
      <x:c r="T31" s="84" t="n">
        <x:v>32</x:v>
      </x:c>
      <x:c r="U31" s="80" t="str">
        <x:v>Zen 4</x:v>
      </x:c>
      <x:c r="V31" s="85"/>
      <x:c r="W31" s="85" t="n">
        <x:v>120</x:v>
      </x:c>
      <x:c r="X31" s="80"/>
      <x:c r="Y31" s="81" t="b">
        <x:v>1</x:v>
      </x:c>
      <x:c r="Z31" s="81" t="b">
        <x:v>1</x:v>
      </x:c>
      <x:c r="AA31" s="80" t="str">
        <x:v>medium</x:v>
      </x:c>
      <x:c r="AB31" s="80"/>
      <x:c r="AC31" s="80"/>
      <x:c r="AD31" s="83" t="n">
        <x:v>44985</x:v>
      </x:c>
      <x:c r="AE31" s="80" t="str">
        <x:v>2023-02-28</x:v>
      </x:c>
      <x:c r="AF31" s="80" t="str">
        <x:v>exact</x:v>
      </x:c>
      <x:c r="AG31" s="80" t="str">
        <x:v>Ryzen 9</x:v>
      </x:c>
      <x:c r="AH31" s="80" t="str">
        <x:v>Ryzen 7000</x:v>
      </x:c>
      <x:c r="AI31" s="86" t="n">
        <x:v>16</x:v>
      </x:c>
      <x:c r="AJ31" s="86" t="n">
        <x:v>0</x:v>
      </x:c>
      <x:c r="AK31" s="86"/>
      <x:c r="AL31" s="86" t="n">
        <x:v>62321</x:v>
      </x:c>
      <x:c r="AM31" s="86" t="n">
        <x:v>4145</x:v>
      </x:c>
      <x:c r="AN31" s="83" t="n">
        <x:v>46218</x:v>
      </x:c>
    </x:row>
    <x:row r="32">
      <x:c r="A32" s="82" t="str">
        <x:v>amd-ryzen-5-8400f</x:v>
      </x:c>
      <x:c r="B32" s="80" t="str">
        <x:v>AMD</x:v>
      </x:c>
      <x:c r="C32" s="80" t="str">
        <x:v>Ryzen 5 8400F</x:v>
      </x:c>
      <x:c r="D32" s="80" t="str">
        <x:v>AMD Ryzen 5 8400F</x:v>
      </x:c>
      <x:c r="E32" s="80"/>
      <x:c r="F32" s="80"/>
      <x:c r="G32" s="80"/>
      <x:c r="H32" s="80"/>
      <x:c r="I32" s="80" t="str">
        <x:v>Ryzen 5 8400F</x:v>
      </x:c>
      <x:c r="J32" s="80" t="str">
        <x:v>research_required</x:v>
      </x:c>
      <x:c r="K32" s="80" t="str">
        <x:v>unrated</x:v>
      </x:c>
      <x:c r="L32" s="83" t="n">
        <x:v>46218</x:v>
      </x:c>
      <x:c r="M32" s="14" t="str">
        <x:v>公式仕様とPassMark性能値を登録。ASIN/JAN、国内リテール品、保証条件、独立レビューは要確認。</x:v>
      </x:c>
      <x:c r="N32" s="14"/>
      <x:c r="O32" s="14"/>
      <x:c r="P32" s="14" t="str">
        <x:v>型番識別子・国内保証・販売形態を未確認</x:v>
      </x:c>
      <x:c r="Q32" s="14" t="str">
        <x:v>PassMarkスコアは2026-07-15確認時点。掲載値は更新されるため価格判定時に再確認してください。</x:v>
      </x:c>
      <x:c r="R32" s="80" t="str">
        <x:v>AM5</x:v>
      </x:c>
      <x:c r="S32" s="84" t="n">
        <x:v>6</x:v>
      </x:c>
      <x:c r="T32" s="84" t="n">
        <x:v>12</x:v>
      </x:c>
      <x:c r="U32" s="80" t="str">
        <x:v>Zen 4</x:v>
      </x:c>
      <x:c r="V32" s="85"/>
      <x:c r="W32" s="85" t="n">
        <x:v>65</x:v>
      </x:c>
      <x:c r="X32" s="80"/>
      <x:c r="Y32" s="81" t="b">
        <x:v>0</x:v>
      </x:c>
      <x:c r="Z32" s="81" t="b">
        <x:v>0</x:v>
      </x:c>
      <x:c r="AA32" s="80" t="str">
        <x:v>low</x:v>
      </x:c>
      <x:c r="AB32" s="80"/>
      <x:c r="AC32" s="80"/>
      <x:c r="AD32" s="83"/>
      <x:c r="AE32" s="80" t="str">
        <x:v>Q2'24</x:v>
      </x:c>
      <x:c r="AF32" s="80" t="str">
        <x:v>quarter</x:v>
      </x:c>
      <x:c r="AG32" s="80" t="str">
        <x:v>Ryzen 5</x:v>
      </x:c>
      <x:c r="AH32" s="80" t="str">
        <x:v>Ryzen 8000</x:v>
      </x:c>
      <x:c r="AI32" s="86" t="n">
        <x:v>6</x:v>
      </x:c>
      <x:c r="AJ32" s="86" t="n">
        <x:v>0</x:v>
      </x:c>
      <x:c r="AK32" s="86"/>
      <x:c r="AL32" s="86" t="n">
        <x:v>24403</x:v>
      </x:c>
      <x:c r="AM32" s="86" t="n">
        <x:v>3686</x:v>
      </x:c>
      <x:c r="AN32" s="83" t="n">
        <x:v>46218</x:v>
      </x:c>
    </x:row>
    <x:row r="33">
      <x:c r="A33" s="82" t="str">
        <x:v>amd-ryzen-5-8500g</x:v>
      </x:c>
      <x:c r="B33" s="80" t="str">
        <x:v>AMD</x:v>
      </x:c>
      <x:c r="C33" s="80" t="str">
        <x:v>Ryzen 5 8500G</x:v>
      </x:c>
      <x:c r="D33" s="80" t="str">
        <x:v>AMD Ryzen 5 8500G</x:v>
      </x:c>
      <x:c r="E33" s="80"/>
      <x:c r="F33" s="80"/>
      <x:c r="G33" s="80"/>
      <x:c r="H33" s="80"/>
      <x:c r="I33" s="80" t="str">
        <x:v>Ryzen 5 8500G</x:v>
      </x:c>
      <x:c r="J33" s="80" t="str">
        <x:v>research_required</x:v>
      </x:c>
      <x:c r="K33" s="80" t="str">
        <x:v>unrated</x:v>
      </x:c>
      <x:c r="L33" s="83" t="n">
        <x:v>46218</x:v>
      </x:c>
      <x:c r="M33" s="14" t="str">
        <x:v>公式仕様とPassMark性能値を登録。ASIN/JAN、国内リテール品、保証条件、独立レビューは要確認。</x:v>
      </x:c>
      <x:c r="N33" s="14"/>
      <x:c r="O33" s="14"/>
      <x:c r="P33" s="14" t="str">
        <x:v>型番識別子・国内保証・販売形態を未確認</x:v>
      </x:c>
      <x:c r="Q33" s="14" t="str">
        <x:v>PassMarkスコアは2026-07-15確認時点。掲載値は更新されるため価格判定時に再確認してください。</x:v>
      </x:c>
      <x:c r="R33" s="80" t="str">
        <x:v>AM5</x:v>
      </x:c>
      <x:c r="S33" s="84" t="n">
        <x:v>6</x:v>
      </x:c>
      <x:c r="T33" s="84" t="n">
        <x:v>12</x:v>
      </x:c>
      <x:c r="U33" s="80" t="str">
        <x:v>Zen 4</x:v>
      </x:c>
      <x:c r="V33" s="85"/>
      <x:c r="W33" s="85" t="n">
        <x:v>65</x:v>
      </x:c>
      <x:c r="X33" s="80"/>
      <x:c r="Y33" s="81" t="b">
        <x:v>0</x:v>
      </x:c>
      <x:c r="Z33" s="81" t="b">
        <x:v>1</x:v>
      </x:c>
      <x:c r="AA33" s="80" t="str">
        <x:v>low</x:v>
      </x:c>
      <x:c r="AB33" s="80"/>
      <x:c r="AC33" s="80"/>
      <x:c r="AD33" s="83" t="n">
        <x:v>45322</x:v>
      </x:c>
      <x:c r="AE33" s="80" t="str">
        <x:v>2024-01-31</x:v>
      </x:c>
      <x:c r="AF33" s="80" t="str">
        <x:v>exact</x:v>
      </x:c>
      <x:c r="AG33" s="80" t="str">
        <x:v>Ryzen 5</x:v>
      </x:c>
      <x:c r="AH33" s="80" t="str">
        <x:v>Ryzen 8000</x:v>
      </x:c>
      <x:c r="AI33" s="86" t="n">
        <x:v>6</x:v>
      </x:c>
      <x:c r="AJ33" s="86" t="n">
        <x:v>0</x:v>
      </x:c>
      <x:c r="AK33" s="86"/>
      <x:c r="AL33" s="86" t="n">
        <x:v>21402</x:v>
      </x:c>
      <x:c r="AM33" s="86" t="n">
        <x:v>3876</x:v>
      </x:c>
      <x:c r="AN33" s="83" t="n">
        <x:v>46218</x:v>
      </x:c>
    </x:row>
    <x:row r="34">
      <x:c r="A34" s="82" t="str">
        <x:v>amd-ryzen-5-8600g</x:v>
      </x:c>
      <x:c r="B34" s="80" t="str">
        <x:v>AMD</x:v>
      </x:c>
      <x:c r="C34" s="80" t="str">
        <x:v>Ryzen 5 8600G</x:v>
      </x:c>
      <x:c r="D34" s="80" t="str">
        <x:v>AMD Ryzen 5 8600G</x:v>
      </x:c>
      <x:c r="E34" s="80"/>
      <x:c r="F34" s="80"/>
      <x:c r="G34" s="80"/>
      <x:c r="H34" s="80"/>
      <x:c r="I34" s="80" t="str">
        <x:v>Ryzen 5 8600G</x:v>
      </x:c>
      <x:c r="J34" s="80" t="str">
        <x:v>research_required</x:v>
      </x:c>
      <x:c r="K34" s="80" t="str">
        <x:v>unrated</x:v>
      </x:c>
      <x:c r="L34" s="83" t="n">
        <x:v>46218</x:v>
      </x:c>
      <x:c r="M34" s="14" t="str">
        <x:v>公式仕様とPassMark性能値を登録。ASIN/JAN、国内リテール品、保証条件、独立レビューは要確認。</x:v>
      </x:c>
      <x:c r="N34" s="14"/>
      <x:c r="O34" s="14"/>
      <x:c r="P34" s="14" t="str">
        <x:v>型番識別子・国内保証・販売形態を未確認</x:v>
      </x:c>
      <x:c r="Q34" s="14" t="str">
        <x:v>PassMarkスコアは2026-07-15確認時点。掲載値は更新されるため価格判定時に再確認してください。</x:v>
      </x:c>
      <x:c r="R34" s="80" t="str">
        <x:v>AM5</x:v>
      </x:c>
      <x:c r="S34" s="84" t="n">
        <x:v>6</x:v>
      </x:c>
      <x:c r="T34" s="84" t="n">
        <x:v>12</x:v>
      </x:c>
      <x:c r="U34" s="80" t="str">
        <x:v>Zen 4</x:v>
      </x:c>
      <x:c r="V34" s="85"/>
      <x:c r="W34" s="85" t="n">
        <x:v>65</x:v>
      </x:c>
      <x:c r="X34" s="80"/>
      <x:c r="Y34" s="81" t="b">
        <x:v>0</x:v>
      </x:c>
      <x:c r="Z34" s="81" t="b">
        <x:v>1</x:v>
      </x:c>
      <x:c r="AA34" s="80" t="str">
        <x:v>low</x:v>
      </x:c>
      <x:c r="AB34" s="80"/>
      <x:c r="AC34" s="80"/>
      <x:c r="AD34" s="83" t="n">
        <x:v>45322</x:v>
      </x:c>
      <x:c r="AE34" s="80" t="str">
        <x:v>2024-01-31</x:v>
      </x:c>
      <x:c r="AF34" s="80" t="str">
        <x:v>exact</x:v>
      </x:c>
      <x:c r="AG34" s="80" t="str">
        <x:v>Ryzen 5</x:v>
      </x:c>
      <x:c r="AH34" s="80" t="str">
        <x:v>Ryzen 8000</x:v>
      </x:c>
      <x:c r="AI34" s="86" t="n">
        <x:v>6</x:v>
      </x:c>
      <x:c r="AJ34" s="86" t="n">
        <x:v>0</x:v>
      </x:c>
      <x:c r="AK34" s="86"/>
      <x:c r="AL34" s="86" t="n">
        <x:v>25189</x:v>
      </x:c>
      <x:c r="AM34" s="86" t="n">
        <x:v>3875</x:v>
      </x:c>
      <x:c r="AN34" s="83" t="n">
        <x:v>46218</x:v>
      </x:c>
    </x:row>
    <x:row r="35">
      <x:c r="A35" s="82" t="str">
        <x:v>amd-ryzen-7-8700f</x:v>
      </x:c>
      <x:c r="B35" s="80" t="str">
        <x:v>AMD</x:v>
      </x:c>
      <x:c r="C35" s="80" t="str">
        <x:v>Ryzen 7 8700F</x:v>
      </x:c>
      <x:c r="D35" s="80" t="str">
        <x:v>AMD Ryzen 7 8700F</x:v>
      </x:c>
      <x:c r="E35" s="80"/>
      <x:c r="F35" s="80"/>
      <x:c r="G35" s="80"/>
      <x:c r="H35" s="80"/>
      <x:c r="I35" s="80" t="str">
        <x:v>Ryzen 7 8700F</x:v>
      </x:c>
      <x:c r="J35" s="80" t="str">
        <x:v>research_required</x:v>
      </x:c>
      <x:c r="K35" s="80" t="str">
        <x:v>unrated</x:v>
      </x:c>
      <x:c r="L35" s="83" t="n">
        <x:v>46218</x:v>
      </x:c>
      <x:c r="M35" s="14" t="str">
        <x:v>公式仕様とPassMark性能値を登録。ASIN/JAN、国内リテール品、保証条件、独立レビューは要確認。</x:v>
      </x:c>
      <x:c r="N35" s="14"/>
      <x:c r="O35" s="14"/>
      <x:c r="P35" s="14" t="str">
        <x:v>型番識別子・国内保証・販売形態を未確認</x:v>
      </x:c>
      <x:c r="Q35" s="14" t="str">
        <x:v>PassMarkスコアは2026-07-15確認時点。掲載値は更新されるため価格判定時に再確認してください。</x:v>
      </x:c>
      <x:c r="R35" s="80" t="str">
        <x:v>AM5</x:v>
      </x:c>
      <x:c r="S35" s="84" t="n">
        <x:v>8</x:v>
      </x:c>
      <x:c r="T35" s="84" t="n">
        <x:v>16</x:v>
      </x:c>
      <x:c r="U35" s="80" t="str">
        <x:v>Zen 4</x:v>
      </x:c>
      <x:c r="V35" s="85"/>
      <x:c r="W35" s="85" t="n">
        <x:v>65</x:v>
      </x:c>
      <x:c r="X35" s="80"/>
      <x:c r="Y35" s="81" t="b">
        <x:v>0</x:v>
      </x:c>
      <x:c r="Z35" s="81" t="b">
        <x:v>0</x:v>
      </x:c>
      <x:c r="AA35" s="80" t="str">
        <x:v>low</x:v>
      </x:c>
      <x:c r="AB35" s="80"/>
      <x:c r="AC35" s="80"/>
      <x:c r="AD35" s="83"/>
      <x:c r="AE35" s="80" t="str">
        <x:v>Q2'24</x:v>
      </x:c>
      <x:c r="AF35" s="80" t="str">
        <x:v>quarter</x:v>
      </x:c>
      <x:c r="AG35" s="80" t="str">
        <x:v>Ryzen 7</x:v>
      </x:c>
      <x:c r="AH35" s="80" t="str">
        <x:v>Ryzen 8000</x:v>
      </x:c>
      <x:c r="AI35" s="86" t="n">
        <x:v>8</x:v>
      </x:c>
      <x:c r="AJ35" s="86" t="n">
        <x:v>0</x:v>
      </x:c>
      <x:c r="AK35" s="86"/>
      <x:c r="AL35" s="86" t="n">
        <x:v>30930</x:v>
      </x:c>
      <x:c r="AM35" s="86" t="n">
        <x:v>3873</x:v>
      </x:c>
      <x:c r="AN35" s="83" t="n">
        <x:v>46218</x:v>
      </x:c>
    </x:row>
    <x:row r="36">
      <x:c r="A36" s="82" t="str">
        <x:v>amd-ryzen-7-8700g</x:v>
      </x:c>
      <x:c r="B36" s="80" t="str">
        <x:v>AMD</x:v>
      </x:c>
      <x:c r="C36" s="80" t="str">
        <x:v>Ryzen 7 8700G</x:v>
      </x:c>
      <x:c r="D36" s="80" t="str">
        <x:v>AMD Ryzen 7 8700G</x:v>
      </x:c>
      <x:c r="E36" s="80"/>
      <x:c r="F36" s="80"/>
      <x:c r="G36" s="80"/>
      <x:c r="H36" s="80"/>
      <x:c r="I36" s="80" t="str">
        <x:v>Ryzen 7 8700G</x:v>
      </x:c>
      <x:c r="J36" s="80" t="str">
        <x:v>research_required</x:v>
      </x:c>
      <x:c r="K36" s="80" t="str">
        <x:v>unrated</x:v>
      </x:c>
      <x:c r="L36" s="83" t="n">
        <x:v>46218</x:v>
      </x:c>
      <x:c r="M36" s="14" t="str">
        <x:v>公式仕様とPassMark性能値を登録。ASIN/JAN、国内リテール品、保証条件、独立レビューは要確認。</x:v>
      </x:c>
      <x:c r="N36" s="14"/>
      <x:c r="O36" s="14"/>
      <x:c r="P36" s="14" t="str">
        <x:v>型番識別子・国内保証・販売形態を未確認</x:v>
      </x:c>
      <x:c r="Q36" s="14" t="str">
        <x:v>PassMarkスコアは2026-07-15確認時点。掲載値は更新されるため価格判定時に再確認してください。</x:v>
      </x:c>
      <x:c r="R36" s="80" t="str">
        <x:v>AM5</x:v>
      </x:c>
      <x:c r="S36" s="84" t="n">
        <x:v>8</x:v>
      </x:c>
      <x:c r="T36" s="84" t="n">
        <x:v>16</x:v>
      </x:c>
      <x:c r="U36" s="80" t="str">
        <x:v>Zen 4</x:v>
      </x:c>
      <x:c r="V36" s="85"/>
      <x:c r="W36" s="85" t="n">
        <x:v>65</x:v>
      </x:c>
      <x:c r="X36" s="80"/>
      <x:c r="Y36" s="81" t="b">
        <x:v>0</x:v>
      </x:c>
      <x:c r="Z36" s="81" t="b">
        <x:v>1</x:v>
      </x:c>
      <x:c r="AA36" s="80" t="str">
        <x:v>low</x:v>
      </x:c>
      <x:c r="AB36" s="80"/>
      <x:c r="AC36" s="80"/>
      <x:c r="AD36" s="83" t="n">
        <x:v>45322</x:v>
      </x:c>
      <x:c r="AE36" s="80" t="str">
        <x:v>2024-01-31</x:v>
      </x:c>
      <x:c r="AF36" s="80" t="str">
        <x:v>exact</x:v>
      </x:c>
      <x:c r="AG36" s="80" t="str">
        <x:v>Ryzen 7</x:v>
      </x:c>
      <x:c r="AH36" s="80" t="str">
        <x:v>Ryzen 8000</x:v>
      </x:c>
      <x:c r="AI36" s="86" t="n">
        <x:v>8</x:v>
      </x:c>
      <x:c r="AJ36" s="86" t="n">
        <x:v>0</x:v>
      </x:c>
      <x:c r="AK36" s="86"/>
      <x:c r="AL36" s="86" t="n">
        <x:v>31519</x:v>
      </x:c>
      <x:c r="AM36" s="86" t="n">
        <x:v>3922</x:v>
      </x:c>
      <x:c r="AN36" s="83" t="n">
        <x:v>46218</x:v>
      </x:c>
    </x:row>
    <x:row r="37">
      <x:c r="A37" s="82" t="str">
        <x:v>amd-ryzen-5-9500f</x:v>
      </x:c>
      <x:c r="B37" s="80" t="str">
        <x:v>AMD</x:v>
      </x:c>
      <x:c r="C37" s="80" t="str">
        <x:v>Ryzen 5 9500F</x:v>
      </x:c>
      <x:c r="D37" s="80" t="str">
        <x:v>AMD Ryzen 5 9500F</x:v>
      </x:c>
      <x:c r="E37" s="80"/>
      <x:c r="F37" s="80"/>
      <x:c r="G37" s="80"/>
      <x:c r="H37" s="80"/>
      <x:c r="I37" s="80" t="str">
        <x:v>Ryzen 5 9500F</x:v>
      </x:c>
      <x:c r="J37" s="80" t="str">
        <x:v>research_required</x:v>
      </x:c>
      <x:c r="K37" s="80" t="str">
        <x:v>unrated</x:v>
      </x:c>
      <x:c r="L37" s="83" t="n">
        <x:v>46218</x:v>
      </x:c>
      <x:c r="M37" s="14" t="str">
        <x:v>公式仕様とPassMark性能値を登録。ASIN/JAN、国内リテール品、保証条件、独立レビューは要確認。</x:v>
      </x:c>
      <x:c r="N37" s="14"/>
      <x:c r="O37" s="14"/>
      <x:c r="P37" s="14" t="str">
        <x:v>型番識別子・国内保証・販売形態を未確認</x:v>
      </x:c>
      <x:c r="Q37" s="14" t="str">
        <x:v>PassMarkスコアは2026-07-15確認時点。掲載値は更新されるため価格判定時に再確認してください。</x:v>
      </x:c>
      <x:c r="R37" s="80" t="str">
        <x:v>AM5</x:v>
      </x:c>
      <x:c r="S37" s="84" t="n">
        <x:v>6</x:v>
      </x:c>
      <x:c r="T37" s="84" t="n">
        <x:v>12</x:v>
      </x:c>
      <x:c r="U37" s="80" t="str">
        <x:v>Zen 5</x:v>
      </x:c>
      <x:c r="V37" s="85"/>
      <x:c r="W37" s="85" t="n">
        <x:v>65</x:v>
      </x:c>
      <x:c r="X37" s="80"/>
      <x:c r="Y37" s="81" t="b">
        <x:v>0</x:v>
      </x:c>
      <x:c r="Z37" s="81" t="b">
        <x:v>0</x:v>
      </x:c>
      <x:c r="AA37" s="80" t="str">
        <x:v>low</x:v>
      </x:c>
      <x:c r="AB37" s="80"/>
      <x:c r="AC37" s="80"/>
      <x:c r="AD37" s="83"/>
      <x:c r="AE37" s="80" t="str">
        <x:v>Q3'25</x:v>
      </x:c>
      <x:c r="AF37" s="80" t="str">
        <x:v>quarter</x:v>
      </x:c>
      <x:c r="AG37" s="80" t="str">
        <x:v>Ryzen 5</x:v>
      </x:c>
      <x:c r="AH37" s="80" t="str">
        <x:v>Ryzen 9000</x:v>
      </x:c>
      <x:c r="AI37" s="86" t="n">
        <x:v>6</x:v>
      </x:c>
      <x:c r="AJ37" s="86" t="n">
        <x:v>0</x:v>
      </x:c>
      <x:c r="AK37" s="86"/>
      <x:c r="AL37" s="86" t="n">
        <x:v>28343</x:v>
      </x:c>
      <x:c r="AM37" s="86" t="n">
        <x:v>4259</x:v>
      </x:c>
      <x:c r="AN37" s="83" t="n">
        <x:v>46218</x:v>
      </x:c>
    </x:row>
    <x:row r="38">
      <x:c r="A38" s="82" t="str">
        <x:v>amd-ryzen-5-9600</x:v>
      </x:c>
      <x:c r="B38" s="80" t="str">
        <x:v>AMD</x:v>
      </x:c>
      <x:c r="C38" s="80" t="str">
        <x:v>Ryzen 5 9600</x:v>
      </x:c>
      <x:c r="D38" s="80" t="str">
        <x:v>AMD Ryzen 5 9600</x:v>
      </x:c>
      <x:c r="E38" s="80"/>
      <x:c r="F38" s="80"/>
      <x:c r="G38" s="80"/>
      <x:c r="H38" s="80"/>
      <x:c r="I38" s="80" t="str">
        <x:v>Ryzen 5 9600</x:v>
      </x:c>
      <x:c r="J38" s="80" t="str">
        <x:v>research_required</x:v>
      </x:c>
      <x:c r="K38" s="80" t="str">
        <x:v>unrated</x:v>
      </x:c>
      <x:c r="L38" s="83" t="n">
        <x:v>46218</x:v>
      </x:c>
      <x:c r="M38" s="14" t="str">
        <x:v>公式仕様とPassMark性能値を登録。ASIN/JAN、国内リテール品、保証条件、独立レビューは要確認。</x:v>
      </x:c>
      <x:c r="N38" s="14"/>
      <x:c r="O38" s="14"/>
      <x:c r="P38" s="14" t="str">
        <x:v>型番識別子・国内保証・販売形態を未確認</x:v>
      </x:c>
      <x:c r="Q38" s="14" t="str">
        <x:v>PassMarkスコアは2026-07-15確認時点。掲載値は更新されるため価格判定時に再確認してください。</x:v>
      </x:c>
      <x:c r="R38" s="80" t="str">
        <x:v>AM5</x:v>
      </x:c>
      <x:c r="S38" s="84" t="n">
        <x:v>6</x:v>
      </x:c>
      <x:c r="T38" s="84" t="n">
        <x:v>12</x:v>
      </x:c>
      <x:c r="U38" s="80" t="str">
        <x:v>Zen 5</x:v>
      </x:c>
      <x:c r="V38" s="85"/>
      <x:c r="W38" s="85" t="n">
        <x:v>65</x:v>
      </x:c>
      <x:c r="X38" s="80"/>
      <x:c r="Y38" s="81" t="b">
        <x:v>0</x:v>
      </x:c>
      <x:c r="Z38" s="81" t="b">
        <x:v>1</x:v>
      </x:c>
      <x:c r="AA38" s="80" t="str">
        <x:v>low</x:v>
      </x:c>
      <x:c r="AB38" s="80"/>
      <x:c r="AC38" s="80"/>
      <x:c r="AD38" s="83"/>
      <x:c r="AE38" s="80" t="str">
        <x:v>Q1'25</x:v>
      </x:c>
      <x:c r="AF38" s="80" t="str">
        <x:v>quarter</x:v>
      </x:c>
      <x:c r="AG38" s="80" t="str">
        <x:v>Ryzen 5</x:v>
      </x:c>
      <x:c r="AH38" s="80" t="str">
        <x:v>Ryzen 9000</x:v>
      </x:c>
      <x:c r="AI38" s="86" t="n">
        <x:v>6</x:v>
      </x:c>
      <x:c r="AJ38" s="86" t="n">
        <x:v>0</x:v>
      </x:c>
      <x:c r="AK38" s="86"/>
      <x:c r="AL38" s="86" t="n">
        <x:v>29302</x:v>
      </x:c>
      <x:c r="AM38" s="86" t="n">
        <x:v>4376</x:v>
      </x:c>
      <x:c r="AN38" s="83" t="n">
        <x:v>46218</x:v>
      </x:c>
    </x:row>
    <x:row r="39">
      <x:c r="A39" s="82" t="str">
        <x:v>amd-ryzen-5-9600x</x:v>
      </x:c>
      <x:c r="B39" s="80" t="str">
        <x:v>AMD</x:v>
      </x:c>
      <x:c r="C39" s="80" t="str">
        <x:v>Ryzen 5 9600X</x:v>
      </x:c>
      <x:c r="D39" s="80" t="str">
        <x:v>AMD Ryzen 5 9600X</x:v>
      </x:c>
      <x:c r="E39" s="80"/>
      <x:c r="F39" s="80"/>
      <x:c r="G39" s="80"/>
      <x:c r="H39" s="80"/>
      <x:c r="I39" s="80" t="str">
        <x:v>Ryzen 5 9600X</x:v>
      </x:c>
      <x:c r="J39" s="80" t="str">
        <x:v>research_required</x:v>
      </x:c>
      <x:c r="K39" s="80" t="str">
        <x:v>unrated</x:v>
      </x:c>
      <x:c r="L39" s="83" t="n">
        <x:v>46218</x:v>
      </x:c>
      <x:c r="M39" s="14" t="str">
        <x:v>公式仕様とPassMark性能値を登録。ASIN/JAN、国内リテール品、保証条件、独立レビューは要確認。</x:v>
      </x:c>
      <x:c r="N39" s="14"/>
      <x:c r="O39" s="14"/>
      <x:c r="P39" s="14" t="str">
        <x:v>型番識別子・国内保証・販売形態を未確認</x:v>
      </x:c>
      <x:c r="Q39" s="14" t="str">
        <x:v>PassMarkスコアは2026-07-15確認時点。掲載値は更新されるため価格判定時に再確認してください。</x:v>
      </x:c>
      <x:c r="R39" s="80" t="str">
        <x:v>AM5</x:v>
      </x:c>
      <x:c r="S39" s="84" t="n">
        <x:v>6</x:v>
      </x:c>
      <x:c r="T39" s="84" t="n">
        <x:v>12</x:v>
      </x:c>
      <x:c r="U39" s="80" t="str">
        <x:v>Zen 5</x:v>
      </x:c>
      <x:c r="V39" s="85"/>
      <x:c r="W39" s="85" t="n">
        <x:v>65</x:v>
      </x:c>
      <x:c r="X39" s="80"/>
      <x:c r="Y39" s="81" t="b">
        <x:v>0</x:v>
      </x:c>
      <x:c r="Z39" s="81" t="b">
        <x:v>1</x:v>
      </x:c>
      <x:c r="AA39" s="80" t="str">
        <x:v>low</x:v>
      </x:c>
      <x:c r="AB39" s="80"/>
      <x:c r="AC39" s="80"/>
      <x:c r="AD39" s="83" t="n">
        <x:v>45512</x:v>
      </x:c>
      <x:c r="AE39" s="80" t="str">
        <x:v>2024-08-08</x:v>
      </x:c>
      <x:c r="AF39" s="80" t="str">
        <x:v>exact</x:v>
      </x:c>
      <x:c r="AG39" s="80" t="str">
        <x:v>Ryzen 5</x:v>
      </x:c>
      <x:c r="AH39" s="80" t="str">
        <x:v>Ryzen 9000</x:v>
      </x:c>
      <x:c r="AI39" s="86" t="n">
        <x:v>6</x:v>
      </x:c>
      <x:c r="AJ39" s="86" t="n">
        <x:v>0</x:v>
      </x:c>
      <x:c r="AK39" s="86"/>
      <x:c r="AL39" s="86" t="n">
        <x:v>30101</x:v>
      </x:c>
      <x:c r="AM39" s="86" t="n">
        <x:v>4572</x:v>
      </x:c>
      <x:c r="AN39" s="83" t="n">
        <x:v>46218</x:v>
      </x:c>
    </x:row>
    <x:row r="40">
      <x:c r="A40" s="82" t="str">
        <x:v>amd-ryzen-7-9700f</x:v>
      </x:c>
      <x:c r="B40" s="80" t="str">
        <x:v>AMD</x:v>
      </x:c>
      <x:c r="C40" s="80" t="str">
        <x:v>Ryzen 7 9700F</x:v>
      </x:c>
      <x:c r="D40" s="80" t="str">
        <x:v>AMD Ryzen 7 9700F</x:v>
      </x:c>
      <x:c r="E40" s="80"/>
      <x:c r="F40" s="80"/>
      <x:c r="G40" s="80"/>
      <x:c r="H40" s="80"/>
      <x:c r="I40" s="80" t="str">
        <x:v>Ryzen 7 9700F</x:v>
      </x:c>
      <x:c r="J40" s="80" t="str">
        <x:v>research_required</x:v>
      </x:c>
      <x:c r="K40" s="80" t="str">
        <x:v>unrated</x:v>
      </x:c>
      <x:c r="L40" s="83" t="n">
        <x:v>46218</x:v>
      </x:c>
      <x:c r="M40" s="14" t="str">
        <x:v>公式仕様とPassMark性能値を登録。ASIN/JAN、国内リテール品、保証条件、独立レビューは要確認。</x:v>
      </x:c>
      <x:c r="N40" s="14"/>
      <x:c r="O40" s="14"/>
      <x:c r="P40" s="14" t="str">
        <x:v>型番識別子・国内保証・販売形態を未確認</x:v>
      </x:c>
      <x:c r="Q40" s="14" t="str">
        <x:v>PassMarkスコアは2026-07-15確認時点。掲載値は更新されるため価格判定時に再確認してください。</x:v>
      </x:c>
      <x:c r="R40" s="80" t="str">
        <x:v>AM5</x:v>
      </x:c>
      <x:c r="S40" s="84" t="n">
        <x:v>8</x:v>
      </x:c>
      <x:c r="T40" s="84" t="n">
        <x:v>16</x:v>
      </x:c>
      <x:c r="U40" s="80" t="str">
        <x:v>Zen 5</x:v>
      </x:c>
      <x:c r="V40" s="85"/>
      <x:c r="W40" s="85" t="n">
        <x:v>65</x:v>
      </x:c>
      <x:c r="X40" s="80"/>
      <x:c r="Y40" s="81" t="b">
        <x:v>0</x:v>
      </x:c>
      <x:c r="Z40" s="81" t="b">
        <x:v>0</x:v>
      </x:c>
      <x:c r="AA40" s="80" t="str">
        <x:v>low</x:v>
      </x:c>
      <x:c r="AB40" s="80"/>
      <x:c r="AC40" s="80"/>
      <x:c r="AD40" s="83"/>
      <x:c r="AE40" s="80" t="str">
        <x:v>Q1'26</x:v>
      </x:c>
      <x:c r="AF40" s="80" t="str">
        <x:v>quarter</x:v>
      </x:c>
      <x:c r="AG40" s="80" t="str">
        <x:v>Ryzen 7</x:v>
      </x:c>
      <x:c r="AH40" s="80" t="str">
        <x:v>Ryzen 9000</x:v>
      </x:c>
      <x:c r="AI40" s="86" t="n">
        <x:v>8</x:v>
      </x:c>
      <x:c r="AJ40" s="86" t="n">
        <x:v>0</x:v>
      </x:c>
      <x:c r="AK40" s="86"/>
      <x:c r="AL40" s="86" t="n">
        <x:v>36636</x:v>
      </x:c>
      <x:c r="AM40" s="86" t="n">
        <x:v>4697</x:v>
      </x:c>
      <x:c r="AN40" s="83" t="n">
        <x:v>46218</x:v>
      </x:c>
    </x:row>
    <x:row r="41">
      <x:c r="A41" s="82" t="str">
        <x:v>amd-ryzen-7-9700x</x:v>
      </x:c>
      <x:c r="B41" s="80" t="str">
        <x:v>AMD</x:v>
      </x:c>
      <x:c r="C41" s="80" t="str">
        <x:v>Ryzen 7 9700X</x:v>
      </x:c>
      <x:c r="D41" s="80" t="str">
        <x:v>AMD Ryzen 7 9700X</x:v>
      </x:c>
      <x:c r="E41" s="80"/>
      <x:c r="F41" s="80"/>
      <x:c r="G41" s="80"/>
      <x:c r="H41" s="80"/>
      <x:c r="I41" s="80" t="str">
        <x:v>Ryzen 7 9700X</x:v>
      </x:c>
      <x:c r="J41" s="80" t="str">
        <x:v>research_required</x:v>
      </x:c>
      <x:c r="K41" s="80" t="str">
        <x:v>unrated</x:v>
      </x:c>
      <x:c r="L41" s="83" t="n">
        <x:v>46218</x:v>
      </x:c>
      <x:c r="M41" s="14" t="str">
        <x:v>公式仕様とPassMark性能値を登録。ASIN/JAN、国内リテール品、保証条件、独立レビューは要確認。</x:v>
      </x:c>
      <x:c r="N41" s="14"/>
      <x:c r="O41" s="14"/>
      <x:c r="P41" s="14" t="str">
        <x:v>型番識別子・国内保証・販売形態を未確認</x:v>
      </x:c>
      <x:c r="Q41" s="14" t="str">
        <x:v>PassMarkスコアは2026-07-15確認時点。掲載値は更新されるため価格判定時に再確認してください。</x:v>
      </x:c>
      <x:c r="R41" s="80" t="str">
        <x:v>AM5</x:v>
      </x:c>
      <x:c r="S41" s="84" t="n">
        <x:v>8</x:v>
      </x:c>
      <x:c r="T41" s="84" t="n">
        <x:v>16</x:v>
      </x:c>
      <x:c r="U41" s="80" t="str">
        <x:v>Zen 5</x:v>
      </x:c>
      <x:c r="V41" s="85"/>
      <x:c r="W41" s="85" t="n">
        <x:v>65</x:v>
      </x:c>
      <x:c r="X41" s="80"/>
      <x:c r="Y41" s="81" t="b">
        <x:v>0</x:v>
      </x:c>
      <x:c r="Z41" s="81" t="b">
        <x:v>1</x:v>
      </x:c>
      <x:c r="AA41" s="80" t="str">
        <x:v>low</x:v>
      </x:c>
      <x:c r="AB41" s="80"/>
      <x:c r="AC41" s="80"/>
      <x:c r="AD41" s="83" t="n">
        <x:v>45512</x:v>
      </x:c>
      <x:c r="AE41" s="80" t="str">
        <x:v>2024-08-08</x:v>
      </x:c>
      <x:c r="AF41" s="80" t="str">
        <x:v>exact</x:v>
      </x:c>
      <x:c r="AG41" s="80" t="str">
        <x:v>Ryzen 7</x:v>
      </x:c>
      <x:c r="AH41" s="80" t="str">
        <x:v>Ryzen 9000</x:v>
      </x:c>
      <x:c r="AI41" s="86" t="n">
        <x:v>8</x:v>
      </x:c>
      <x:c r="AJ41" s="86" t="n">
        <x:v>0</x:v>
      </x:c>
      <x:c r="AK41" s="86"/>
      <x:c r="AL41" s="86" t="n">
        <x:v>37011</x:v>
      </x:c>
      <x:c r="AM41" s="86" t="n">
        <x:v>4647</x:v>
      </x:c>
      <x:c r="AN41" s="83" t="n">
        <x:v>46218</x:v>
      </x:c>
    </x:row>
    <x:row r="42">
      <x:c r="A42" s="82" t="str">
        <x:v>amd-ryzen-7-9800x3d</x:v>
      </x:c>
      <x:c r="B42" s="80" t="str">
        <x:v>AMD</x:v>
      </x:c>
      <x:c r="C42" s="80" t="str">
        <x:v>Ryzen 7 9800X3D</x:v>
      </x:c>
      <x:c r="D42" s="80" t="str">
        <x:v>AMD Ryzen 7 9800X3D</x:v>
      </x:c>
      <x:c r="E42" s="80"/>
      <x:c r="F42" s="80"/>
      <x:c r="G42" s="80"/>
      <x:c r="H42" s="80"/>
      <x:c r="I42" s="80" t="str">
        <x:v>Ryzen 7 9800X3D</x:v>
      </x:c>
      <x:c r="J42" s="80" t="str">
        <x:v>research_required</x:v>
      </x:c>
      <x:c r="K42" s="80" t="str">
        <x:v>unrated</x:v>
      </x:c>
      <x:c r="L42" s="83" t="n">
        <x:v>46218</x:v>
      </x:c>
      <x:c r="M42" s="14" t="str">
        <x:v>公式仕様とPassMark性能値を登録。ASIN/JAN、国内リテール品、保証条件、独立レビューは要確認。</x:v>
      </x:c>
      <x:c r="N42" s="14"/>
      <x:c r="O42" s="14"/>
      <x:c r="P42" s="14" t="str">
        <x:v>型番識別子・国内保証・販売形態を未確認</x:v>
      </x:c>
      <x:c r="Q42" s="14" t="str">
        <x:v>PassMarkスコアは2026-07-15確認時点。掲載値は更新されるため価格判定時に再確認してください。</x:v>
      </x:c>
      <x:c r="R42" s="80" t="str">
        <x:v>AM5</x:v>
      </x:c>
      <x:c r="S42" s="84" t="n">
        <x:v>8</x:v>
      </x:c>
      <x:c r="T42" s="84" t="n">
        <x:v>16</x:v>
      </x:c>
      <x:c r="U42" s="80" t="str">
        <x:v>Zen 5</x:v>
      </x:c>
      <x:c r="V42" s="85"/>
      <x:c r="W42" s="85" t="n">
        <x:v>120</x:v>
      </x:c>
      <x:c r="X42" s="80"/>
      <x:c r="Y42" s="81" t="b">
        <x:v>1</x:v>
      </x:c>
      <x:c r="Z42" s="81" t="b">
        <x:v>1</x:v>
      </x:c>
      <x:c r="AA42" s="80" t="str">
        <x:v>medium</x:v>
      </x:c>
      <x:c r="AB42" s="80"/>
      <x:c r="AC42" s="80"/>
      <x:c r="AD42" s="83" t="n">
        <x:v>45603</x:v>
      </x:c>
      <x:c r="AE42" s="80" t="str">
        <x:v>2024-11-07</x:v>
      </x:c>
      <x:c r="AF42" s="80" t="str">
        <x:v>exact</x:v>
      </x:c>
      <x:c r="AG42" s="80" t="str">
        <x:v>Ryzen 7</x:v>
      </x:c>
      <x:c r="AH42" s="80" t="str">
        <x:v>Ryzen 9000</x:v>
      </x:c>
      <x:c r="AI42" s="86" t="n">
        <x:v>8</x:v>
      </x:c>
      <x:c r="AJ42" s="86" t="n">
        <x:v>0</x:v>
      </x:c>
      <x:c r="AK42" s="86"/>
      <x:c r="AL42" s="86" t="n">
        <x:v>39951</x:v>
      </x:c>
      <x:c r="AM42" s="86" t="n">
        <x:v>4423</x:v>
      </x:c>
      <x:c r="AN42" s="83" t="n">
        <x:v>46218</x:v>
      </x:c>
    </x:row>
    <x:row r="43">
      <x:c r="A43" s="82" t="str">
        <x:v>amd-ryzen-7-9850x3d</x:v>
      </x:c>
      <x:c r="B43" s="80" t="str">
        <x:v>AMD</x:v>
      </x:c>
      <x:c r="C43" s="80" t="str">
        <x:v>Ryzen 7 9850X3D</x:v>
      </x:c>
      <x:c r="D43" s="80" t="str">
        <x:v>AMD Ryzen 7 9850X3D</x:v>
      </x:c>
      <x:c r="E43" s="80"/>
      <x:c r="F43" s="80"/>
      <x:c r="G43" s="80"/>
      <x:c r="H43" s="80"/>
      <x:c r="I43" s="80" t="str">
        <x:v>Ryzen 7 9850X3D</x:v>
      </x:c>
      <x:c r="J43" s="80" t="str">
        <x:v>research_required</x:v>
      </x:c>
      <x:c r="K43" s="80" t="str">
        <x:v>unrated</x:v>
      </x:c>
      <x:c r="L43" s="83" t="n">
        <x:v>46218</x:v>
      </x:c>
      <x:c r="M43" s="14" t="str">
        <x:v>公式仕様とPassMark性能値を登録。ASIN/JAN、国内リテール品、保証条件、独立レビューは要確認。</x:v>
      </x:c>
      <x:c r="N43" s="14"/>
      <x:c r="O43" s="14"/>
      <x:c r="P43" s="14" t="str">
        <x:v>型番識別子・国内保証・販売形態を未確認</x:v>
      </x:c>
      <x:c r="Q43" s="14" t="str">
        <x:v>PassMarkスコアは2026-07-15確認時点。掲載値は更新されるため価格判定時に再確認してください。</x:v>
      </x:c>
      <x:c r="R43" s="80" t="str">
        <x:v>AM5</x:v>
      </x:c>
      <x:c r="S43" s="84" t="n">
        <x:v>8</x:v>
      </x:c>
      <x:c r="T43" s="84" t="n">
        <x:v>16</x:v>
      </x:c>
      <x:c r="U43" s="80" t="str">
        <x:v>Zen 5</x:v>
      </x:c>
      <x:c r="V43" s="85"/>
      <x:c r="W43" s="85" t="n">
        <x:v>120</x:v>
      </x:c>
      <x:c r="X43" s="80"/>
      <x:c r="Y43" s="81" t="b">
        <x:v>1</x:v>
      </x:c>
      <x:c r="Z43" s="81" t="b">
        <x:v>1</x:v>
      </x:c>
      <x:c r="AA43" s="80" t="str">
        <x:v>medium</x:v>
      </x:c>
      <x:c r="AB43" s="80"/>
      <x:c r="AC43" s="80"/>
      <x:c r="AD43" s="83"/>
      <x:c r="AE43" s="80" t="str">
        <x:v>Q1'26</x:v>
      </x:c>
      <x:c r="AF43" s="80" t="str">
        <x:v>quarter</x:v>
      </x:c>
      <x:c r="AG43" s="80" t="str">
        <x:v>Ryzen 7</x:v>
      </x:c>
      <x:c r="AH43" s="80" t="str">
        <x:v>Ryzen 9000</x:v>
      </x:c>
      <x:c r="AI43" s="86" t="n">
        <x:v>8</x:v>
      </x:c>
      <x:c r="AJ43" s="86" t="n">
        <x:v>0</x:v>
      </x:c>
      <x:c r="AK43" s="86"/>
      <x:c r="AL43" s="86" t="n">
        <x:v>41328</x:v>
      </x:c>
      <x:c r="AM43" s="86" t="n">
        <x:v>4705</x:v>
      </x:c>
      <x:c r="AN43" s="83" t="n">
        <x:v>46218</x:v>
      </x:c>
    </x:row>
    <x:row r="44">
      <x:c r="A44" s="82" t="str">
        <x:v>amd-ryzen-9-9900x</x:v>
      </x:c>
      <x:c r="B44" s="80" t="str">
        <x:v>AMD</x:v>
      </x:c>
      <x:c r="C44" s="80" t="str">
        <x:v>Ryzen 9 9900X</x:v>
      </x:c>
      <x:c r="D44" s="80" t="str">
        <x:v>AMD Ryzen 9 9900X</x:v>
      </x:c>
      <x:c r="E44" s="80"/>
      <x:c r="F44" s="80"/>
      <x:c r="G44" s="80"/>
      <x:c r="H44" s="80"/>
      <x:c r="I44" s="80" t="str">
        <x:v>Ryzen 9 9900X</x:v>
      </x:c>
      <x:c r="J44" s="80" t="str">
        <x:v>research_required</x:v>
      </x:c>
      <x:c r="K44" s="80" t="str">
        <x:v>unrated</x:v>
      </x:c>
      <x:c r="L44" s="83" t="n">
        <x:v>46218</x:v>
      </x:c>
      <x:c r="M44" s="14" t="str">
        <x:v>公式仕様とPassMark性能値を登録。ASIN/JAN、国内リテール品、保証条件、独立レビューは要確認。</x:v>
      </x:c>
      <x:c r="N44" s="14"/>
      <x:c r="O44" s="14"/>
      <x:c r="P44" s="14" t="str">
        <x:v>型番識別子・国内保証・販売形態を未確認</x:v>
      </x:c>
      <x:c r="Q44" s="14" t="str">
        <x:v>PassMarkスコアは2026-07-15確認時点。掲載値は更新されるため価格判定時に再確認してください。</x:v>
      </x:c>
      <x:c r="R44" s="80" t="str">
        <x:v>AM5</x:v>
      </x:c>
      <x:c r="S44" s="84" t="n">
        <x:v>12</x:v>
      </x:c>
      <x:c r="T44" s="84" t="n">
        <x:v>24</x:v>
      </x:c>
      <x:c r="U44" s="80" t="str">
        <x:v>Zen 5</x:v>
      </x:c>
      <x:c r="V44" s="85"/>
      <x:c r="W44" s="85" t="n">
        <x:v>120</x:v>
      </x:c>
      <x:c r="X44" s="80"/>
      <x:c r="Y44" s="81" t="b">
        <x:v>0</x:v>
      </x:c>
      <x:c r="Z44" s="81" t="b">
        <x:v>1</x:v>
      </x:c>
      <x:c r="AA44" s="80" t="str">
        <x:v>medium</x:v>
      </x:c>
      <x:c r="AB44" s="80"/>
      <x:c r="AC44" s="80"/>
      <x:c r="AD44" s="83" t="n">
        <x:v>45519</x:v>
      </x:c>
      <x:c r="AE44" s="80" t="str">
        <x:v>2024-08-15</x:v>
      </x:c>
      <x:c r="AF44" s="80" t="str">
        <x:v>exact</x:v>
      </x:c>
      <x:c r="AG44" s="80" t="str">
        <x:v>Ryzen 9</x:v>
      </x:c>
      <x:c r="AH44" s="80" t="str">
        <x:v>Ryzen 9000</x:v>
      </x:c>
      <x:c r="AI44" s="86" t="n">
        <x:v>12</x:v>
      </x:c>
      <x:c r="AJ44" s="86" t="n">
        <x:v>0</x:v>
      </x:c>
      <x:c r="AK44" s="86"/>
      <x:c r="AL44" s="86" t="n">
        <x:v>54371</x:v>
      </x:c>
      <x:c r="AM44" s="86" t="n">
        <x:v>4675</x:v>
      </x:c>
      <x:c r="AN44" s="83" t="n">
        <x:v>46218</x:v>
      </x:c>
    </x:row>
    <x:row r="45">
      <x:c r="A45" s="82" t="str">
        <x:v>amd-ryzen-9-9900x3d</x:v>
      </x:c>
      <x:c r="B45" s="80" t="str">
        <x:v>AMD</x:v>
      </x:c>
      <x:c r="C45" s="80" t="str">
        <x:v>Ryzen 9 9900X3D</x:v>
      </x:c>
      <x:c r="D45" s="80" t="str">
        <x:v>AMD Ryzen 9 9900X3D</x:v>
      </x:c>
      <x:c r="E45" s="80"/>
      <x:c r="F45" s="80"/>
      <x:c r="G45" s="80"/>
      <x:c r="H45" s="80"/>
      <x:c r="I45" s="80" t="str">
        <x:v>Ryzen 9 9900X3D</x:v>
      </x:c>
      <x:c r="J45" s="80" t="str">
        <x:v>research_required</x:v>
      </x:c>
      <x:c r="K45" s="80" t="str">
        <x:v>unrated</x:v>
      </x:c>
      <x:c r="L45" s="83" t="n">
        <x:v>46218</x:v>
      </x:c>
      <x:c r="M45" s="14" t="str">
        <x:v>公式仕様とPassMark性能値を登録。ASIN/JAN、国内リテール品、保証条件、独立レビューは要確認。</x:v>
      </x:c>
      <x:c r="N45" s="14"/>
      <x:c r="O45" s="14"/>
      <x:c r="P45" s="14" t="str">
        <x:v>型番識別子・国内保証・販売形態を未確認</x:v>
      </x:c>
      <x:c r="Q45" s="14" t="str">
        <x:v>PassMarkスコアは2026-07-15確認時点。掲載値は更新されるため価格判定時に再確認してください。</x:v>
      </x:c>
      <x:c r="R45" s="80" t="str">
        <x:v>AM5</x:v>
      </x:c>
      <x:c r="S45" s="84" t="n">
        <x:v>12</x:v>
      </x:c>
      <x:c r="T45" s="84" t="n">
        <x:v>24</x:v>
      </x:c>
      <x:c r="U45" s="80" t="str">
        <x:v>Zen 5</x:v>
      </x:c>
      <x:c r="V45" s="85"/>
      <x:c r="W45" s="85" t="n">
        <x:v>120</x:v>
      </x:c>
      <x:c r="X45" s="80"/>
      <x:c r="Y45" s="81" t="b">
        <x:v>1</x:v>
      </x:c>
      <x:c r="Z45" s="81" t="b">
        <x:v>1</x:v>
      </x:c>
      <x:c r="AA45" s="80" t="str">
        <x:v>medium</x:v>
      </x:c>
      <x:c r="AB45" s="80"/>
      <x:c r="AC45" s="80"/>
      <x:c r="AD45" s="83" t="n">
        <x:v>45728</x:v>
      </x:c>
      <x:c r="AE45" s="80" t="str">
        <x:v>2025-03-12</x:v>
      </x:c>
      <x:c r="AF45" s="80" t="str">
        <x:v>exact</x:v>
      </x:c>
      <x:c r="AG45" s="80" t="str">
        <x:v>Ryzen 9</x:v>
      </x:c>
      <x:c r="AH45" s="80" t="str">
        <x:v>Ryzen 9000</x:v>
      </x:c>
      <x:c r="AI45" s="86" t="n">
        <x:v>12</x:v>
      </x:c>
      <x:c r="AJ45" s="86" t="n">
        <x:v>0</x:v>
      </x:c>
      <x:c r="AK45" s="86"/>
      <x:c r="AL45" s="86" t="n">
        <x:v>56148</x:v>
      </x:c>
      <x:c r="AM45" s="86" t="n">
        <x:v>4638</x:v>
      </x:c>
      <x:c r="AN45" s="83" t="n">
        <x:v>46218</x:v>
      </x:c>
    </x:row>
    <x:row r="46">
      <x:c r="A46" s="82" t="str">
        <x:v>amd-ryzen-9-9950x</x:v>
      </x:c>
      <x:c r="B46" s="80" t="str">
        <x:v>AMD</x:v>
      </x:c>
      <x:c r="C46" s="80" t="str">
        <x:v>Ryzen 9 9950X</x:v>
      </x:c>
      <x:c r="D46" s="80" t="str">
        <x:v>AMD Ryzen 9 9950X</x:v>
      </x:c>
      <x:c r="E46" s="80"/>
      <x:c r="F46" s="80"/>
      <x:c r="G46" s="80"/>
      <x:c r="H46" s="80"/>
      <x:c r="I46" s="80" t="str">
        <x:v>Ryzen 9 9950X</x:v>
      </x:c>
      <x:c r="J46" s="80" t="str">
        <x:v>research_required</x:v>
      </x:c>
      <x:c r="K46" s="80" t="str">
        <x:v>unrated</x:v>
      </x:c>
      <x:c r="L46" s="83" t="n">
        <x:v>46218</x:v>
      </x:c>
      <x:c r="M46" s="14" t="str">
        <x:v>公式仕様とPassMark性能値を登録。ASIN/JAN、国内リテール品、保証条件、独立レビューは要確認。</x:v>
      </x:c>
      <x:c r="N46" s="14"/>
      <x:c r="O46" s="14"/>
      <x:c r="P46" s="14" t="str">
        <x:v>型番識別子・国内保証・販売形態を未確認</x:v>
      </x:c>
      <x:c r="Q46" s="14" t="str">
        <x:v>PassMarkスコアは2026-07-15確認時点。掲載値は更新されるため価格判定時に再確認してください。</x:v>
      </x:c>
      <x:c r="R46" s="80" t="str">
        <x:v>AM5</x:v>
      </x:c>
      <x:c r="S46" s="84" t="n">
        <x:v>16</x:v>
      </x:c>
      <x:c r="T46" s="84" t="n">
        <x:v>32</x:v>
      </x:c>
      <x:c r="U46" s="80" t="str">
        <x:v>Zen 5</x:v>
      </x:c>
      <x:c r="V46" s="85"/>
      <x:c r="W46" s="85" t="n">
        <x:v>170</x:v>
      </x:c>
      <x:c r="X46" s="80"/>
      <x:c r="Y46" s="81" t="b">
        <x:v>0</x:v>
      </x:c>
      <x:c r="Z46" s="81" t="b">
        <x:v>1</x:v>
      </x:c>
      <x:c r="AA46" s="80" t="str">
        <x:v>high</x:v>
      </x:c>
      <x:c r="AB46" s="80"/>
      <x:c r="AC46" s="80"/>
      <x:c r="AD46" s="83" t="n">
        <x:v>45519</x:v>
      </x:c>
      <x:c r="AE46" s="80" t="str">
        <x:v>2024-08-15</x:v>
      </x:c>
      <x:c r="AF46" s="80" t="str">
        <x:v>exact</x:v>
      </x:c>
      <x:c r="AG46" s="80" t="str">
        <x:v>Ryzen 9</x:v>
      </x:c>
      <x:c r="AH46" s="80" t="str">
        <x:v>Ryzen 9000</x:v>
      </x:c>
      <x:c r="AI46" s="86" t="n">
        <x:v>16</x:v>
      </x:c>
      <x:c r="AJ46" s="86" t="n">
        <x:v>0</x:v>
      </x:c>
      <x:c r="AK46" s="86"/>
      <x:c r="AL46" s="86" t="n">
        <x:v>65748</x:v>
      </x:c>
      <x:c r="AM46" s="86" t="n">
        <x:v>4729</x:v>
      </x:c>
      <x:c r="AN46" s="83" t="n">
        <x:v>46218</x:v>
      </x:c>
    </x:row>
    <x:row r="47">
      <x:c r="A47" s="82" t="str">
        <x:v>amd-ryzen-9-9950x3d</x:v>
      </x:c>
      <x:c r="B47" s="80" t="str">
        <x:v>AMD</x:v>
      </x:c>
      <x:c r="C47" s="80" t="str">
        <x:v>Ryzen 9 9950X3D</x:v>
      </x:c>
      <x:c r="D47" s="80" t="str">
        <x:v>AMD Ryzen 9 9950X3D</x:v>
      </x:c>
      <x:c r="E47" s="80"/>
      <x:c r="F47" s="80"/>
      <x:c r="G47" s="80"/>
      <x:c r="H47" s="80"/>
      <x:c r="I47" s="80" t="str">
        <x:v>Ryzen 9 9950X3D</x:v>
      </x:c>
      <x:c r="J47" s="80" t="str">
        <x:v>research_required</x:v>
      </x:c>
      <x:c r="K47" s="80" t="str">
        <x:v>unrated</x:v>
      </x:c>
      <x:c r="L47" s="83" t="n">
        <x:v>46218</x:v>
      </x:c>
      <x:c r="M47" s="14" t="str">
        <x:v>公式仕様とPassMark性能値を登録。ASIN/JAN、国内リテール品、保証条件、独立レビューは要確認。</x:v>
      </x:c>
      <x:c r="N47" s="14"/>
      <x:c r="O47" s="14"/>
      <x:c r="P47" s="14" t="str">
        <x:v>型番識別子・国内保証・販売形態を未確認</x:v>
      </x:c>
      <x:c r="Q47" s="14" t="str">
        <x:v>PassMarkスコアは2026-07-15確認時点。掲載値は更新されるため価格判定時に再確認してください。</x:v>
      </x:c>
      <x:c r="R47" s="80" t="str">
        <x:v>AM5</x:v>
      </x:c>
      <x:c r="S47" s="84" t="n">
        <x:v>16</x:v>
      </x:c>
      <x:c r="T47" s="84" t="n">
        <x:v>32</x:v>
      </x:c>
      <x:c r="U47" s="80" t="str">
        <x:v>Zen 5</x:v>
      </x:c>
      <x:c r="V47" s="85"/>
      <x:c r="W47" s="85" t="n">
        <x:v>170</x:v>
      </x:c>
      <x:c r="X47" s="80"/>
      <x:c r="Y47" s="81" t="b">
        <x:v>1</x:v>
      </x:c>
      <x:c r="Z47" s="81" t="b">
        <x:v>1</x:v>
      </x:c>
      <x:c r="AA47" s="80" t="str">
        <x:v>high</x:v>
      </x:c>
      <x:c r="AB47" s="80"/>
      <x:c r="AC47" s="80"/>
      <x:c r="AD47" s="83" t="n">
        <x:v>45728</x:v>
      </x:c>
      <x:c r="AE47" s="80" t="str">
        <x:v>2025-03-12</x:v>
      </x:c>
      <x:c r="AF47" s="80" t="str">
        <x:v>exact</x:v>
      </x:c>
      <x:c r="AG47" s="80" t="str">
        <x:v>Ryzen 9</x:v>
      </x:c>
      <x:c r="AH47" s="80" t="str">
        <x:v>Ryzen 9000</x:v>
      </x:c>
      <x:c r="AI47" s="86" t="n">
        <x:v>16</x:v>
      </x:c>
      <x:c r="AJ47" s="86" t="n">
        <x:v>0</x:v>
      </x:c>
      <x:c r="AK47" s="86"/>
      <x:c r="AL47" s="86" t="n">
        <x:v>70129</x:v>
      </x:c>
      <x:c r="AM47" s="86" t="n">
        <x:v>4740</x:v>
      </x:c>
      <x:c r="AN47" s="83" t="n">
        <x:v>46218</x:v>
      </x:c>
    </x:row>
    <x:row r="48">
      <x:c r="A48" s="82" t="str">
        <x:v>amd-ryzen-9-9950x3d2</x:v>
      </x:c>
      <x:c r="B48" s="80" t="str">
        <x:v>AMD</x:v>
      </x:c>
      <x:c r="C48" s="80" t="str">
        <x:v>Ryzen 9 9950X3D2</x:v>
      </x:c>
      <x:c r="D48" s="80" t="str">
        <x:v>AMD Ryzen 9 9950X3D2</x:v>
      </x:c>
      <x:c r="E48" s="80"/>
      <x:c r="F48" s="80"/>
      <x:c r="G48" s="80"/>
      <x:c r="H48" s="80"/>
      <x:c r="I48" s="80" t="str">
        <x:v>Ryzen 9 9950X3D2</x:v>
      </x:c>
      <x:c r="J48" s="80" t="str">
        <x:v>research_required</x:v>
      </x:c>
      <x:c r="K48" s="80" t="str">
        <x:v>unrated</x:v>
      </x:c>
      <x:c r="L48" s="83" t="n">
        <x:v>46218</x:v>
      </x:c>
      <x:c r="M48" s="14" t="str">
        <x:v>公式仕様とPassMark性能値を登録。ASIN/JAN、国内リテール品、保証条件、独立レビューは要確認。</x:v>
      </x:c>
      <x:c r="N48" s="14"/>
      <x:c r="O48" s="14"/>
      <x:c r="P48" s="14" t="str">
        <x:v>型番識別子・国内保証・販売形態を未確認</x:v>
      </x:c>
      <x:c r="Q48" s="14" t="str">
        <x:v>PassMarkスコアは2026-07-15確認時点。掲載値は更新されるため価格判定時に再確認してください。</x:v>
      </x:c>
      <x:c r="R48" s="80" t="str">
        <x:v>AM5</x:v>
      </x:c>
      <x:c r="S48" s="84" t="n">
        <x:v>16</x:v>
      </x:c>
      <x:c r="T48" s="84" t="n">
        <x:v>32</x:v>
      </x:c>
      <x:c r="U48" s="80" t="str">
        <x:v>Zen 5</x:v>
      </x:c>
      <x:c r="V48" s="85"/>
      <x:c r="W48" s="85" t="n">
        <x:v>200</x:v>
      </x:c>
      <x:c r="X48" s="80"/>
      <x:c r="Y48" s="81" t="b">
        <x:v>1</x:v>
      </x:c>
      <x:c r="Z48" s="81" t="b">
        <x:v>1</x:v>
      </x:c>
      <x:c r="AA48" s="80" t="str">
        <x:v>high</x:v>
      </x:c>
      <x:c r="AB48" s="80"/>
      <x:c r="AC48" s="80"/>
      <x:c r="AD48" s="83" t="n">
        <x:v>46134</x:v>
      </x:c>
      <x:c r="AE48" s="80" t="str">
        <x:v>2026-04-22</x:v>
      </x:c>
      <x:c r="AF48" s="80" t="str">
        <x:v>exact</x:v>
      </x:c>
      <x:c r="AG48" s="80" t="str">
        <x:v>Ryzen 9</x:v>
      </x:c>
      <x:c r="AH48" s="80" t="str">
        <x:v>Ryzen 9000</x:v>
      </x:c>
      <x:c r="AI48" s="86" t="n">
        <x:v>16</x:v>
      </x:c>
      <x:c r="AJ48" s="86" t="n">
        <x:v>0</x:v>
      </x:c>
      <x:c r="AK48" s="86"/>
      <x:c r="AL48" s="86" t="n">
        <x:v>72371</x:v>
      </x:c>
      <x:c r="AM48" s="86" t="n">
        <x:v>4678</x:v>
      </x:c>
      <x:c r="AN48" s="83" t="n">
        <x:v>46218</x:v>
      </x:c>
    </x:row>
    <x:row r="49">
      <x:c r="A49" s="82" t="str">
        <x:v>intel-core-i3-12100</x:v>
      </x:c>
      <x:c r="B49" s="80" t="str">
        <x:v>Intel</x:v>
      </x:c>
      <x:c r="C49" s="80" t="str">
        <x:v>Core i3-12100</x:v>
      </x:c>
      <x:c r="D49" s="80" t="str">
        <x:v>Intel Core i3-12100</x:v>
      </x:c>
      <x:c r="E49" s="80"/>
      <x:c r="F49" s="80"/>
      <x:c r="G49" s="80"/>
      <x:c r="H49" s="80"/>
      <x:c r="I49" s="80" t="str">
        <x:v>Core i3-12100</x:v>
      </x:c>
      <x:c r="J49" s="80" t="str">
        <x:v>research_required</x:v>
      </x:c>
      <x:c r="K49" s="80" t="str">
        <x:v>unrated</x:v>
      </x:c>
      <x:c r="L49" s="83" t="n">
        <x:v>46218</x:v>
      </x:c>
      <x:c r="M49" s="14" t="str">
        <x:v>公式仕様とPassMark性能値を登録。ASIN/JAN、国内リテール品、保証条件、独立レビューは要確認。</x:v>
      </x:c>
      <x:c r="N49" s="14"/>
      <x:c r="O49" s="14"/>
      <x:c r="P49" s="14" t="str">
        <x:v>型番識別子・国内保証・販売形態を未確認</x:v>
      </x:c>
      <x:c r="Q49" s="14" t="str">
        <x:v>PassMarkスコアは2026-07-15確認時点。掲載値は更新されるため価格判定時に再確認してください。</x:v>
      </x:c>
      <x:c r="R49" s="80" t="str">
        <x:v>FCLGA1700</x:v>
      </x:c>
      <x:c r="S49" s="84" t="n">
        <x:v>4</x:v>
      </x:c>
      <x:c r="T49" s="84" t="n">
        <x:v>8</x:v>
      </x:c>
      <x:c r="U49" s="80" t="str">
        <x:v>Alder Lake</x:v>
      </x:c>
      <x:c r="V49" s="85" t="n">
        <x:v>4.3</x:v>
      </x:c>
      <x:c r="W49" s="85" t="n">
        <x:v>60</x:v>
      </x:c>
      <x:c r="X49" s="80"/>
      <x:c r="Y49" s="81" t="b">
        <x:v>0</x:v>
      </x:c>
      <x:c r="Z49" s="81" t="b">
        <x:v>1</x:v>
      </x:c>
      <x:c r="AA49" s="80" t="str">
        <x:v>low</x:v>
      </x:c>
      <x:c r="AB49" s="80"/>
      <x:c r="AC49" s="80"/>
      <x:c r="AD49" s="83" t="n">
        <x:v>44565</x:v>
      </x:c>
      <x:c r="AE49" s="80" t="str">
        <x:v>2022-01-04</x:v>
      </x:c>
      <x:c r="AF49" s="80" t="str">
        <x:v>exact</x:v>
      </x:c>
      <x:c r="AG49" s="80" t="str">
        <x:v>Core i3</x:v>
      </x:c>
      <x:c r="AH49" s="80" t="str">
        <x:v>12th Gen Core</x:v>
      </x:c>
      <x:c r="AI49" s="86" t="n">
        <x:v>4</x:v>
      </x:c>
      <x:c r="AJ49" s="86" t="n">
        <x:v>0</x:v>
      </x:c>
      <x:c r="AK49" s="86" t="n">
        <x:v>12</x:v>
      </x:c>
      <x:c r="AL49" s="86" t="n">
        <x:v>12474</x:v>
      </x:c>
      <x:c r="AM49" s="86" t="n">
        <x:v>3234</x:v>
      </x:c>
      <x:c r="AN49" s="83" t="n">
        <x:v>46218</x:v>
      </x:c>
    </x:row>
    <x:row r="50">
      <x:c r="A50" s="82" t="str">
        <x:v>intel-core-i3-12100f</x:v>
      </x:c>
      <x:c r="B50" s="80" t="str">
        <x:v>Intel</x:v>
      </x:c>
      <x:c r="C50" s="80" t="str">
        <x:v>Core i3-12100F</x:v>
      </x:c>
      <x:c r="D50" s="80" t="str">
        <x:v>Intel Core i3-12100F</x:v>
      </x:c>
      <x:c r="E50" s="80"/>
      <x:c r="F50" s="80"/>
      <x:c r="G50" s="80"/>
      <x:c r="H50" s="80"/>
      <x:c r="I50" s="80" t="str">
        <x:v>Core i3-12100F</x:v>
      </x:c>
      <x:c r="J50" s="80" t="str">
        <x:v>research_required</x:v>
      </x:c>
      <x:c r="K50" s="80" t="str">
        <x:v>unrated</x:v>
      </x:c>
      <x:c r="L50" s="83" t="n">
        <x:v>46218</x:v>
      </x:c>
      <x:c r="M50" s="14" t="str">
        <x:v>公式仕様とPassMark性能値を登録。ASIN/JAN、国内リテール品、保証条件、独立レビューは要確認。</x:v>
      </x:c>
      <x:c r="N50" s="14"/>
      <x:c r="O50" s="14"/>
      <x:c r="P50" s="14" t="str">
        <x:v>型番識別子・国内保証・販売形態を未確認</x:v>
      </x:c>
      <x:c r="Q50" s="14" t="str">
        <x:v>PassMarkスコアは2026-07-15確認時点。掲載値は更新されるため価格判定時に再確認してください。</x:v>
      </x:c>
      <x:c r="R50" s="80" t="str">
        <x:v>FCLGA1700</x:v>
      </x:c>
      <x:c r="S50" s="84" t="n">
        <x:v>4</x:v>
      </x:c>
      <x:c r="T50" s="84" t="n">
        <x:v>8</x:v>
      </x:c>
      <x:c r="U50" s="80" t="str">
        <x:v>Alder Lake</x:v>
      </x:c>
      <x:c r="V50" s="85" t="n">
        <x:v>4.3</x:v>
      </x:c>
      <x:c r="W50" s="85" t="n">
        <x:v>58</x:v>
      </x:c>
      <x:c r="X50" s="80"/>
      <x:c r="Y50" s="81" t="b">
        <x:v>0</x:v>
      </x:c>
      <x:c r="Z50" s="81" t="b">
        <x:v>0</x:v>
      </x:c>
      <x:c r="AA50" s="80" t="str">
        <x:v>low</x:v>
      </x:c>
      <x:c r="AB50" s="80"/>
      <x:c r="AC50" s="80"/>
      <x:c r="AD50" s="83" t="n">
        <x:v>44565</x:v>
      </x:c>
      <x:c r="AE50" s="80" t="str">
        <x:v>2022-01-04</x:v>
      </x:c>
      <x:c r="AF50" s="80" t="str">
        <x:v>exact</x:v>
      </x:c>
      <x:c r="AG50" s="80" t="str">
        <x:v>Core i3</x:v>
      </x:c>
      <x:c r="AH50" s="80" t="str">
        <x:v>12th Gen Core</x:v>
      </x:c>
      <x:c r="AI50" s="86" t="n">
        <x:v>4</x:v>
      </x:c>
      <x:c r="AJ50" s="86" t="n">
        <x:v>0</x:v>
      </x:c>
      <x:c r="AK50" s="86" t="n">
        <x:v>12</x:v>
      </x:c>
      <x:c r="AL50" s="86" t="n">
        <x:v>13959</x:v>
      </x:c>
      <x:c r="AM50" s="86" t="n">
        <x:v>3434</x:v>
      </x:c>
      <x:c r="AN50" s="83" t="n">
        <x:v>46218</x:v>
      </x:c>
    </x:row>
    <x:row r="51">
      <x:c r="A51" s="82" t="str">
        <x:v>intel-core-i3-12300</x:v>
      </x:c>
      <x:c r="B51" s="80" t="str">
        <x:v>Intel</x:v>
      </x:c>
      <x:c r="C51" s="80" t="str">
        <x:v>Core i3-12300</x:v>
      </x:c>
      <x:c r="D51" s="80" t="str">
        <x:v>Intel Core i3-12300</x:v>
      </x:c>
      <x:c r="E51" s="80"/>
      <x:c r="F51" s="80"/>
      <x:c r="G51" s="80"/>
      <x:c r="H51" s="80"/>
      <x:c r="I51" s="80" t="str">
        <x:v>Core i3-12300</x:v>
      </x:c>
      <x:c r="J51" s="80" t="str">
        <x:v>research_required</x:v>
      </x:c>
      <x:c r="K51" s="80" t="str">
        <x:v>unrated</x:v>
      </x:c>
      <x:c r="L51" s="83" t="n">
        <x:v>46218</x:v>
      </x:c>
      <x:c r="M51" s="14" t="str">
        <x:v>公式仕様とPassMark性能値を登録。ASIN/JAN、国内リテール品、保証条件、独立レビューは要確認。</x:v>
      </x:c>
      <x:c r="N51" s="14"/>
      <x:c r="O51" s="14"/>
      <x:c r="P51" s="14" t="str">
        <x:v>型番識別子・国内保証・販売形態を未確認</x:v>
      </x:c>
      <x:c r="Q51" s="14" t="str">
        <x:v>PassMarkスコアは2026-07-15確認時点。掲載値は更新されるため価格判定時に再確認してください。</x:v>
      </x:c>
      <x:c r="R51" s="80" t="str">
        <x:v>LGA 1700</x:v>
      </x:c>
      <x:c r="S51" s="84" t="n">
        <x:v>4</x:v>
      </x:c>
      <x:c r="T51" s="84" t="n">
        <x:v>8</x:v>
      </x:c>
      <x:c r="U51" s="80" t="str">
        <x:v>Alder Lake</x:v>
      </x:c>
      <x:c r="V51" s="85" t="n">
        <x:v>4.4</x:v>
      </x:c>
      <x:c r="W51" s="85" t="n">
        <x:v>60</x:v>
      </x:c>
      <x:c r="X51" s="80"/>
      <x:c r="Y51" s="81" t="b">
        <x:v>0</x:v>
      </x:c>
      <x:c r="Z51" s="81" t="b">
        <x:v>1</x:v>
      </x:c>
      <x:c r="AA51" s="80" t="str">
        <x:v>low</x:v>
      </x:c>
      <x:c r="AB51" s="80"/>
      <x:c r="AC51" s="80"/>
      <x:c r="AD51" s="83" t="n">
        <x:v>44565</x:v>
      </x:c>
      <x:c r="AE51" s="80" t="str">
        <x:v>2022-01-04</x:v>
      </x:c>
      <x:c r="AF51" s="80" t="str">
        <x:v>exact</x:v>
      </x:c>
      <x:c r="AG51" s="80" t="str">
        <x:v>Core i3</x:v>
      </x:c>
      <x:c r="AH51" s="80" t="str">
        <x:v>12th Gen Core</x:v>
      </x:c>
      <x:c r="AI51" s="86" t="n">
        <x:v>4</x:v>
      </x:c>
      <x:c r="AJ51" s="86" t="n">
        <x:v>0</x:v>
      </x:c>
      <x:c r="AK51" s="86" t="n">
        <x:v>12</x:v>
      </x:c>
      <x:c r="AL51" s="86" t="n">
        <x:v>14347</x:v>
      </x:c>
      <x:c r="AM51" s="86" t="n">
        <x:v>3572</x:v>
      </x:c>
      <x:c r="AN51" s="83" t="n">
        <x:v>46218</x:v>
      </x:c>
    </x:row>
    <x:row r="52">
      <x:c r="A52" s="82" t="str">
        <x:v>intel-core-i5-12400</x:v>
      </x:c>
      <x:c r="B52" s="80" t="str">
        <x:v>Intel</x:v>
      </x:c>
      <x:c r="C52" s="80" t="str">
        <x:v>Core i5-12400</x:v>
      </x:c>
      <x:c r="D52" s="80" t="str">
        <x:v>Intel Core i5-12400</x:v>
      </x:c>
      <x:c r="E52" s="80"/>
      <x:c r="F52" s="80"/>
      <x:c r="G52" s="80"/>
      <x:c r="H52" s="80"/>
      <x:c r="I52" s="80" t="str">
        <x:v>Core i5-12400</x:v>
      </x:c>
      <x:c r="J52" s="80" t="str">
        <x:v>research_required</x:v>
      </x:c>
      <x:c r="K52" s="80" t="str">
        <x:v>unrated</x:v>
      </x:c>
      <x:c r="L52" s="83" t="n">
        <x:v>46218</x:v>
      </x:c>
      <x:c r="M52" s="14" t="str">
        <x:v>公式仕様とPassMark性能値を登録。ASIN/JAN、国内リテール品、保証条件、独立レビューは要確認。</x:v>
      </x:c>
      <x:c r="N52" s="14"/>
      <x:c r="O52" s="14"/>
      <x:c r="P52" s="14" t="str">
        <x:v>型番識別子・国内保証・販売形態を未確認</x:v>
      </x:c>
      <x:c r="Q52" s="14" t="str">
        <x:v>PassMarkスコアは2026-07-15確認時点。掲載値は更新されるため価格判定時に再確認してください。</x:v>
      </x:c>
      <x:c r="R52" s="80" t="str">
        <x:v>LGA 1700</x:v>
      </x:c>
      <x:c r="S52" s="84" t="n">
        <x:v>6</x:v>
      </x:c>
      <x:c r="T52" s="84" t="n">
        <x:v>12</x:v>
      </x:c>
      <x:c r="U52" s="80" t="str">
        <x:v>Alder Lake</x:v>
      </x:c>
      <x:c r="V52" s="85" t="n">
        <x:v>4.4</x:v>
      </x:c>
      <x:c r="W52" s="85" t="n">
        <x:v>65</x:v>
      </x:c>
      <x:c r="X52" s="80"/>
      <x:c r="Y52" s="81" t="b">
        <x:v>0</x:v>
      </x:c>
      <x:c r="Z52" s="81" t="b">
        <x:v>1</x:v>
      </x:c>
      <x:c r="AA52" s="80" t="str">
        <x:v>low</x:v>
      </x:c>
      <x:c r="AB52" s="80"/>
      <x:c r="AC52" s="80"/>
      <x:c r="AD52" s="83" t="n">
        <x:v>44565</x:v>
      </x:c>
      <x:c r="AE52" s="80" t="str">
        <x:v>2022-01-04</x:v>
      </x:c>
      <x:c r="AF52" s="80" t="str">
        <x:v>exact</x:v>
      </x:c>
      <x:c r="AG52" s="80" t="str">
        <x:v>Core i5</x:v>
      </x:c>
      <x:c r="AH52" s="80" t="str">
        <x:v>12th Gen Core</x:v>
      </x:c>
      <x:c r="AI52" s="86" t="n">
        <x:v>6</x:v>
      </x:c>
      <x:c r="AJ52" s="86" t="n">
        <x:v>0</x:v>
      </x:c>
      <x:c r="AK52" s="86" t="n">
        <x:v>18</x:v>
      </x:c>
      <x:c r="AL52" s="86" t="n">
        <x:v>18808</x:v>
      </x:c>
      <x:c r="AM52" s="86" t="n">
        <x:v>3463</x:v>
      </x:c>
      <x:c r="AN52" s="83" t="n">
        <x:v>46218</x:v>
      </x:c>
    </x:row>
    <x:row r="53">
      <x:c r="A53" s="82" t="str">
        <x:v>intel-core-i5-12400f</x:v>
      </x:c>
      <x:c r="B53" s="80" t="str">
        <x:v>Intel</x:v>
      </x:c>
      <x:c r="C53" s="80" t="str">
        <x:v>Core i5-12400F</x:v>
      </x:c>
      <x:c r="D53" s="80" t="str">
        <x:v>Intel Core i5-12400F</x:v>
      </x:c>
      <x:c r="E53" s="80"/>
      <x:c r="F53" s="80"/>
      <x:c r="G53" s="80"/>
      <x:c r="H53" s="80"/>
      <x:c r="I53" s="80" t="str">
        <x:v>Core i5-12400F</x:v>
      </x:c>
      <x:c r="J53" s="80" t="str">
        <x:v>research_required</x:v>
      </x:c>
      <x:c r="K53" s="80" t="str">
        <x:v>unrated</x:v>
      </x:c>
      <x:c r="L53" s="83" t="n">
        <x:v>46218</x:v>
      </x:c>
      <x:c r="M53" s="14" t="str">
        <x:v>公式仕様とPassMark性能値を登録。ASIN/JAN、国内リテール品、保証条件、独立レビューは要確認。</x:v>
      </x:c>
      <x:c r="N53" s="14"/>
      <x:c r="O53" s="14"/>
      <x:c r="P53" s="14" t="str">
        <x:v>型番識別子・国内保証・販売形態を未確認</x:v>
      </x:c>
      <x:c r="Q53" s="14" t="str">
        <x:v>PassMarkスコアは2026-07-15確認時点。掲載値は更新されるため価格判定時に再確認してください。</x:v>
      </x:c>
      <x:c r="R53" s="80" t="str">
        <x:v>FCLGA1700</x:v>
      </x:c>
      <x:c r="S53" s="84" t="n">
        <x:v>6</x:v>
      </x:c>
      <x:c r="T53" s="84" t="n">
        <x:v>12</x:v>
      </x:c>
      <x:c r="U53" s="80" t="str">
        <x:v>Alder Lake</x:v>
      </x:c>
      <x:c r="V53" s="85" t="n">
        <x:v>4.4</x:v>
      </x:c>
      <x:c r="W53" s="85" t="n">
        <x:v>65</x:v>
      </x:c>
      <x:c r="X53" s="80"/>
      <x:c r="Y53" s="81" t="b">
        <x:v>0</x:v>
      </x:c>
      <x:c r="Z53" s="81" t="b">
        <x:v>0</x:v>
      </x:c>
      <x:c r="AA53" s="80" t="str">
        <x:v>low</x:v>
      </x:c>
      <x:c r="AB53" s="80"/>
      <x:c r="AC53" s="80"/>
      <x:c r="AD53" s="83" t="n">
        <x:v>44565</x:v>
      </x:c>
      <x:c r="AE53" s="80" t="str">
        <x:v>2022-01-04</x:v>
      </x:c>
      <x:c r="AF53" s="80" t="str">
        <x:v>exact</x:v>
      </x:c>
      <x:c r="AG53" s="80" t="str">
        <x:v>Core i5</x:v>
      </x:c>
      <x:c r="AH53" s="80" t="str">
        <x:v>12th Gen Core</x:v>
      </x:c>
      <x:c r="AI53" s="86" t="n">
        <x:v>6</x:v>
      </x:c>
      <x:c r="AJ53" s="86" t="n">
        <x:v>0</x:v>
      </x:c>
      <x:c r="AK53" s="86" t="n">
        <x:v>18</x:v>
      </x:c>
      <x:c r="AL53" s="86" t="n">
        <x:v>19568</x:v>
      </x:c>
      <x:c r="AM53" s="86" t="n">
        <x:v>3487</x:v>
      </x:c>
      <x:c r="AN53" s="83" t="n">
        <x:v>46218</x:v>
      </x:c>
    </x:row>
    <x:row r="54">
      <x:c r="A54" s="82" t="str">
        <x:v>intel-core-i5-12500</x:v>
      </x:c>
      <x:c r="B54" s="80" t="str">
        <x:v>Intel</x:v>
      </x:c>
      <x:c r="C54" s="80" t="str">
        <x:v>Core i5-12500</x:v>
      </x:c>
      <x:c r="D54" s="80" t="str">
        <x:v>Intel Core i5-12500</x:v>
      </x:c>
      <x:c r="E54" s="80"/>
      <x:c r="F54" s="80"/>
      <x:c r="G54" s="80"/>
      <x:c r="H54" s="80"/>
      <x:c r="I54" s="80" t="str">
        <x:v>Core i5-12500</x:v>
      </x:c>
      <x:c r="J54" s="80" t="str">
        <x:v>research_required</x:v>
      </x:c>
      <x:c r="K54" s="80" t="str">
        <x:v>unrated</x:v>
      </x:c>
      <x:c r="L54" s="83" t="n">
        <x:v>46218</x:v>
      </x:c>
      <x:c r="M54" s="14" t="str">
        <x:v>公式仕様とPassMark性能値を登録。ASIN/JAN、国内リテール品、保証条件、独立レビューは要確認。</x:v>
      </x:c>
      <x:c r="N54" s="14"/>
      <x:c r="O54" s="14"/>
      <x:c r="P54" s="14" t="str">
        <x:v>型番識別子・国内保証・販売形態を未確認</x:v>
      </x:c>
      <x:c r="Q54" s="14" t="str">
        <x:v>PassMarkスコアは2026-07-15確認時点。掲載値は更新されるため価格判定時に再確認してください。</x:v>
      </x:c>
      <x:c r="R54" s="80" t="str">
        <x:v>LGA 1700</x:v>
      </x:c>
      <x:c r="S54" s="84" t="n">
        <x:v>6</x:v>
      </x:c>
      <x:c r="T54" s="84" t="n">
        <x:v>12</x:v>
      </x:c>
      <x:c r="U54" s="80" t="str">
        <x:v>Alder Lake</x:v>
      </x:c>
      <x:c r="V54" s="85" t="n">
        <x:v>4.6</x:v>
      </x:c>
      <x:c r="W54" s="85" t="n">
        <x:v>65</x:v>
      </x:c>
      <x:c r="X54" s="80"/>
      <x:c r="Y54" s="81" t="b">
        <x:v>0</x:v>
      </x:c>
      <x:c r="Z54" s="81" t="b">
        <x:v>1</x:v>
      </x:c>
      <x:c r="AA54" s="80" t="str">
        <x:v>low</x:v>
      </x:c>
      <x:c r="AB54" s="80"/>
      <x:c r="AC54" s="80"/>
      <x:c r="AD54" s="83" t="n">
        <x:v>44565</x:v>
      </x:c>
      <x:c r="AE54" s="80" t="str">
        <x:v>2022-01-04</x:v>
      </x:c>
      <x:c r="AF54" s="80" t="str">
        <x:v>exact</x:v>
      </x:c>
      <x:c r="AG54" s="80" t="str">
        <x:v>Core i5</x:v>
      </x:c>
      <x:c r="AH54" s="80" t="str">
        <x:v>12th Gen Core</x:v>
      </x:c>
      <x:c r="AI54" s="86" t="n">
        <x:v>6</x:v>
      </x:c>
      <x:c r="AJ54" s="86" t="n">
        <x:v>0</x:v>
      </x:c>
      <x:c r="AK54" s="86" t="n">
        <x:v>18</x:v>
      </x:c>
      <x:c r="AL54" s="86" t="n">
        <x:v>19723</x:v>
      </x:c>
      <x:c r="AM54" s="86" t="n">
        <x:v>3650</x:v>
      </x:c>
      <x:c r="AN54" s="83" t="n">
        <x:v>46218</x:v>
      </x:c>
    </x:row>
    <x:row r="55">
      <x:c r="A55" s="82" t="str">
        <x:v>intel-core-i5-12600</x:v>
      </x:c>
      <x:c r="B55" s="80" t="str">
        <x:v>Intel</x:v>
      </x:c>
      <x:c r="C55" s="80" t="str">
        <x:v>Core i5-12600</x:v>
      </x:c>
      <x:c r="D55" s="80" t="str">
        <x:v>Intel Core i5-12600</x:v>
      </x:c>
      <x:c r="E55" s="80"/>
      <x:c r="F55" s="80"/>
      <x:c r="G55" s="80"/>
      <x:c r="H55" s="80"/>
      <x:c r="I55" s="80" t="str">
        <x:v>Core i5-12600</x:v>
      </x:c>
      <x:c r="J55" s="80" t="str">
        <x:v>research_required</x:v>
      </x:c>
      <x:c r="K55" s="80" t="str">
        <x:v>unrated</x:v>
      </x:c>
      <x:c r="L55" s="83" t="n">
        <x:v>46218</x:v>
      </x:c>
      <x:c r="M55" s="14" t="str">
        <x:v>公式仕様とPassMark性能値を登録。ASIN/JAN、国内リテール品、保証条件、独立レビューは要確認。</x:v>
      </x:c>
      <x:c r="N55" s="14"/>
      <x:c r="O55" s="14"/>
      <x:c r="P55" s="14" t="str">
        <x:v>型番識別子・国内保証・販売形態を未確認</x:v>
      </x:c>
      <x:c r="Q55" s="14" t="str">
        <x:v>PassMarkスコアは2026-07-15確認時点。掲載値は更新されるため価格判定時に再確認してください。</x:v>
      </x:c>
      <x:c r="R55" s="80" t="str">
        <x:v>LGA 1700</x:v>
      </x:c>
      <x:c r="S55" s="84" t="n">
        <x:v>6</x:v>
      </x:c>
      <x:c r="T55" s="84" t="n">
        <x:v>12</x:v>
      </x:c>
      <x:c r="U55" s="80" t="str">
        <x:v>Alder Lake</x:v>
      </x:c>
      <x:c r="V55" s="85" t="n">
        <x:v>4.8</x:v>
      </x:c>
      <x:c r="W55" s="85" t="n">
        <x:v>65</x:v>
      </x:c>
      <x:c r="X55" s="80"/>
      <x:c r="Y55" s="81" t="b">
        <x:v>0</x:v>
      </x:c>
      <x:c r="Z55" s="81" t="b">
        <x:v>1</x:v>
      </x:c>
      <x:c r="AA55" s="80" t="str">
        <x:v>low</x:v>
      </x:c>
      <x:c r="AB55" s="80"/>
      <x:c r="AC55" s="80"/>
      <x:c r="AD55" s="83" t="n">
        <x:v>44565</x:v>
      </x:c>
      <x:c r="AE55" s="80" t="str">
        <x:v>2022-01-04</x:v>
      </x:c>
      <x:c r="AF55" s="80" t="str">
        <x:v>exact</x:v>
      </x:c>
      <x:c r="AG55" s="80" t="str">
        <x:v>Core i5</x:v>
      </x:c>
      <x:c r="AH55" s="80" t="str">
        <x:v>12th Gen Core</x:v>
      </x:c>
      <x:c r="AI55" s="86" t="n">
        <x:v>6</x:v>
      </x:c>
      <x:c r="AJ55" s="86" t="n">
        <x:v>0</x:v>
      </x:c>
      <x:c r="AK55" s="86" t="n">
        <x:v>18</x:v>
      </x:c>
      <x:c r="AL55" s="86" t="n">
        <x:v>21313</x:v>
      </x:c>
      <x:c r="AM55" s="86" t="n">
        <x:v>3819</x:v>
      </x:c>
      <x:c r="AN55" s="83" t="n">
        <x:v>46218</x:v>
      </x:c>
    </x:row>
    <x:row r="56">
      <x:c r="A56" s="82" t="str">
        <x:v>intel-core-i5-12600k</x:v>
      </x:c>
      <x:c r="B56" s="80" t="str">
        <x:v>Intel</x:v>
      </x:c>
      <x:c r="C56" s="80" t="str">
        <x:v>Core i5-12600K</x:v>
      </x:c>
      <x:c r="D56" s="80" t="str">
        <x:v>Intel Core i5-12600K</x:v>
      </x:c>
      <x:c r="E56" s="80"/>
      <x:c r="F56" s="80"/>
      <x:c r="G56" s="80"/>
      <x:c r="H56" s="80"/>
      <x:c r="I56" s="80" t="str">
        <x:v>Core i5-12600K</x:v>
      </x:c>
      <x:c r="J56" s="80" t="str">
        <x:v>research_required</x:v>
      </x:c>
      <x:c r="K56" s="80" t="str">
        <x:v>unrated</x:v>
      </x:c>
      <x:c r="L56" s="83" t="n">
        <x:v>46218</x:v>
      </x:c>
      <x:c r="M56" s="14" t="str">
        <x:v>公式仕様とPassMark性能値を登録。ASIN/JAN、国内リテール品、保証条件、独立レビューは要確認。</x:v>
      </x:c>
      <x:c r="N56" s="14"/>
      <x:c r="O56" s="14"/>
      <x:c r="P56" s="14" t="str">
        <x:v>型番識別子・国内保証・販売形態を未確認</x:v>
      </x:c>
      <x:c r="Q56" s="14" t="str">
        <x:v>PassMarkスコアは2026-07-15確認時点。掲載値は更新されるため価格判定時に再確認してください。</x:v>
      </x:c>
      <x:c r="R56" s="80" t="str">
        <x:v>FCLGA1700</x:v>
      </x:c>
      <x:c r="S56" s="84" t="n">
        <x:v>10</x:v>
      </x:c>
      <x:c r="T56" s="84" t="n">
        <x:v>16</x:v>
      </x:c>
      <x:c r="U56" s="80" t="str">
        <x:v>Alder Lake</x:v>
      </x:c>
      <x:c r="V56" s="85" t="n">
        <x:v>4.9</x:v>
      </x:c>
      <x:c r="W56" s="85" t="n">
        <x:v>150</x:v>
      </x:c>
      <x:c r="X56" s="80"/>
      <x:c r="Y56" s="81" t="b">
        <x:v>0</x:v>
      </x:c>
      <x:c r="Z56" s="81" t="b">
        <x:v>1</x:v>
      </x:c>
      <x:c r="AA56" s="80" t="str">
        <x:v>high</x:v>
      </x:c>
      <x:c r="AB56" s="80"/>
      <x:c r="AC56" s="80"/>
      <x:c r="AD56" s="83" t="n">
        <x:v>44504</x:v>
      </x:c>
      <x:c r="AE56" s="80" t="str">
        <x:v>2021-11-04</x:v>
      </x:c>
      <x:c r="AF56" s="80" t="str">
        <x:v>exact</x:v>
      </x:c>
      <x:c r="AG56" s="80" t="str">
        <x:v>Core i5</x:v>
      </x:c>
      <x:c r="AH56" s="80" t="str">
        <x:v>12th Gen Core</x:v>
      </x:c>
      <x:c r="AI56" s="86" t="n">
        <x:v>6</x:v>
      </x:c>
      <x:c r="AJ56" s="86" t="n">
        <x:v>4</x:v>
      </x:c>
      <x:c r="AK56" s="86" t="n">
        <x:v>20</x:v>
      </x:c>
      <x:c r="AL56" s="86" t="n">
        <x:v>27524</x:v>
      </x:c>
      <x:c r="AM56" s="86" t="n">
        <x:v>3918</x:v>
      </x:c>
      <x:c r="AN56" s="83" t="n">
        <x:v>46218</x:v>
      </x:c>
    </x:row>
    <x:row r="57">
      <x:c r="A57" s="82" t="str">
        <x:v>intel-core-i5-12600kf</x:v>
      </x:c>
      <x:c r="B57" s="80" t="str">
        <x:v>Intel</x:v>
      </x:c>
      <x:c r="C57" s="80" t="str">
        <x:v>Core i5-12600KF</x:v>
      </x:c>
      <x:c r="D57" s="80" t="str">
        <x:v>Intel Core i5-12600KF</x:v>
      </x:c>
      <x:c r="E57" s="80"/>
      <x:c r="F57" s="80"/>
      <x:c r="G57" s="80"/>
      <x:c r="H57" s="80"/>
      <x:c r="I57" s="80" t="str">
        <x:v>Core i5-12600KF</x:v>
      </x:c>
      <x:c r="J57" s="80" t="str">
        <x:v>research_required</x:v>
      </x:c>
      <x:c r="K57" s="80" t="str">
        <x:v>unrated</x:v>
      </x:c>
      <x:c r="L57" s="83" t="n">
        <x:v>46218</x:v>
      </x:c>
      <x:c r="M57" s="14" t="str">
        <x:v>公式仕様とPassMark性能値を登録。ASIN/JAN、国内リテール品、保証条件、独立レビューは要確認。</x:v>
      </x:c>
      <x:c r="N57" s="14"/>
      <x:c r="O57" s="14"/>
      <x:c r="P57" s="14" t="str">
        <x:v>型番識別子・国内保証・販売形態を未確認</x:v>
      </x:c>
      <x:c r="Q57" s="14" t="str">
        <x:v>PassMarkスコアは2026-07-15確認時点。掲載値は更新されるため価格判定時に再確認してください。</x:v>
      </x:c>
      <x:c r="R57" s="80" t="str">
        <x:v>FCLGA1700</x:v>
      </x:c>
      <x:c r="S57" s="84" t="n">
        <x:v>10</x:v>
      </x:c>
      <x:c r="T57" s="84" t="n">
        <x:v>16</x:v>
      </x:c>
      <x:c r="U57" s="80" t="str">
        <x:v>Alder Lake</x:v>
      </x:c>
      <x:c r="V57" s="85" t="n">
        <x:v>4.9</x:v>
      </x:c>
      <x:c r="W57" s="85" t="n">
        <x:v>150</x:v>
      </x:c>
      <x:c r="X57" s="80"/>
      <x:c r="Y57" s="81" t="b">
        <x:v>0</x:v>
      </x:c>
      <x:c r="Z57" s="81" t="b">
        <x:v>0</x:v>
      </x:c>
      <x:c r="AA57" s="80" t="str">
        <x:v>high</x:v>
      </x:c>
      <x:c r="AB57" s="80"/>
      <x:c r="AC57" s="80"/>
      <x:c r="AD57" s="83" t="n">
        <x:v>44504</x:v>
      </x:c>
      <x:c r="AE57" s="80" t="str">
        <x:v>2021-11-04</x:v>
      </x:c>
      <x:c r="AF57" s="80" t="str">
        <x:v>exact</x:v>
      </x:c>
      <x:c r="AG57" s="80" t="str">
        <x:v>Core i5</x:v>
      </x:c>
      <x:c r="AH57" s="80" t="str">
        <x:v>12th Gen Core</x:v>
      </x:c>
      <x:c r="AI57" s="86" t="n">
        <x:v>6</x:v>
      </x:c>
      <x:c r="AJ57" s="86" t="n">
        <x:v>4</x:v>
      </x:c>
      <x:c r="AK57" s="86" t="n">
        <x:v>20</x:v>
      </x:c>
      <x:c r="AL57" s="86" t="n">
        <x:v>27517</x:v>
      </x:c>
      <x:c r="AM57" s="86" t="n">
        <x:v>3915</x:v>
      </x:c>
      <x:c r="AN57" s="83" t="n">
        <x:v>46218</x:v>
      </x:c>
    </x:row>
    <x:row r="58">
      <x:c r="A58" s="82" t="str">
        <x:v>intel-core-i7-12700</x:v>
      </x:c>
      <x:c r="B58" s="80" t="str">
        <x:v>Intel</x:v>
      </x:c>
      <x:c r="C58" s="80" t="str">
        <x:v>Core i7-12700</x:v>
      </x:c>
      <x:c r="D58" s="80" t="str">
        <x:v>Intel Core i7-12700</x:v>
      </x:c>
      <x:c r="E58" s="80"/>
      <x:c r="F58" s="80"/>
      <x:c r="G58" s="80"/>
      <x:c r="H58" s="80"/>
      <x:c r="I58" s="80" t="str">
        <x:v>Core i7-12700</x:v>
      </x:c>
      <x:c r="J58" s="80" t="str">
        <x:v>research_required</x:v>
      </x:c>
      <x:c r="K58" s="80" t="str">
        <x:v>unrated</x:v>
      </x:c>
      <x:c r="L58" s="83" t="n">
        <x:v>46218</x:v>
      </x:c>
      <x:c r="M58" s="14" t="str">
        <x:v>公式仕様とPassMark性能値を登録。ASIN/JAN、国内リテール品、保証条件、独立レビューは要確認。</x:v>
      </x:c>
      <x:c r="N58" s="14"/>
      <x:c r="O58" s="14"/>
      <x:c r="P58" s="14" t="str">
        <x:v>型番識別子・国内保証・販売形態を未確認</x:v>
      </x:c>
      <x:c r="Q58" s="14" t="str">
        <x:v>PassMarkスコアは2026-07-15確認時点。掲載値は更新されるため価格判定時に再確認してください。</x:v>
      </x:c>
      <x:c r="R58" s="80" t="str">
        <x:v>FCLGA1700</x:v>
      </x:c>
      <x:c r="S58" s="84" t="n">
        <x:v>12</x:v>
      </x:c>
      <x:c r="T58" s="84" t="n">
        <x:v>20</x:v>
      </x:c>
      <x:c r="U58" s="80" t="str">
        <x:v>Alder Lake</x:v>
      </x:c>
      <x:c r="V58" s="85" t="n">
        <x:v>4.9</x:v>
      </x:c>
      <x:c r="W58" s="85" t="n">
        <x:v>65</x:v>
      </x:c>
      <x:c r="X58" s="80"/>
      <x:c r="Y58" s="81" t="b">
        <x:v>0</x:v>
      </x:c>
      <x:c r="Z58" s="81" t="b">
        <x:v>1</x:v>
      </x:c>
      <x:c r="AA58" s="80" t="str">
        <x:v>low</x:v>
      </x:c>
      <x:c r="AB58" s="80"/>
      <x:c r="AC58" s="80"/>
      <x:c r="AD58" s="83" t="n">
        <x:v>44565</x:v>
      </x:c>
      <x:c r="AE58" s="80" t="str">
        <x:v>2022-01-04</x:v>
      </x:c>
      <x:c r="AF58" s="80" t="str">
        <x:v>exact</x:v>
      </x:c>
      <x:c r="AG58" s="80" t="str">
        <x:v>Core i7</x:v>
      </x:c>
      <x:c r="AH58" s="80" t="str">
        <x:v>12th Gen Core</x:v>
      </x:c>
      <x:c r="AI58" s="86" t="n">
        <x:v>8</x:v>
      </x:c>
      <x:c r="AJ58" s="86" t="n">
        <x:v>4</x:v>
      </x:c>
      <x:c r="AK58" s="86" t="n">
        <x:v>25</x:v>
      </x:c>
      <x:c r="AL58" s="86" t="n">
        <x:v>29861</x:v>
      </x:c>
      <x:c r="AM58" s="86" t="n">
        <x:v>3845</x:v>
      </x:c>
      <x:c r="AN58" s="83" t="n">
        <x:v>46218</x:v>
      </x:c>
    </x:row>
    <x:row r="59">
      <x:c r="A59" s="82" t="str">
        <x:v>intel-core-i7-12700f</x:v>
      </x:c>
      <x:c r="B59" s="80" t="str">
        <x:v>Intel</x:v>
      </x:c>
      <x:c r="C59" s="80" t="str">
        <x:v>Core i7-12700F</x:v>
      </x:c>
      <x:c r="D59" s="80" t="str">
        <x:v>Intel Core i7-12700F</x:v>
      </x:c>
      <x:c r="E59" s="80"/>
      <x:c r="F59" s="80"/>
      <x:c r="G59" s="80"/>
      <x:c r="H59" s="80"/>
      <x:c r="I59" s="80" t="str">
        <x:v>Core i7-12700F</x:v>
      </x:c>
      <x:c r="J59" s="80" t="str">
        <x:v>research_required</x:v>
      </x:c>
      <x:c r="K59" s="80" t="str">
        <x:v>unrated</x:v>
      </x:c>
      <x:c r="L59" s="83" t="n">
        <x:v>46218</x:v>
      </x:c>
      <x:c r="M59" s="14" t="str">
        <x:v>公式仕様とPassMark性能値を登録。ASIN/JAN、国内リテール品、保証条件、独立レビューは要確認。</x:v>
      </x:c>
      <x:c r="N59" s="14"/>
      <x:c r="O59" s="14"/>
      <x:c r="P59" s="14" t="str">
        <x:v>型番識別子・国内保証・販売形態を未確認</x:v>
      </x:c>
      <x:c r="Q59" s="14" t="str">
        <x:v>PassMarkスコアは2026-07-15確認時点。掲載値は更新されるため価格判定時に再確認してください。</x:v>
      </x:c>
      <x:c r="R59" s="80" t="str">
        <x:v>FCLGA1700</x:v>
      </x:c>
      <x:c r="S59" s="84" t="n">
        <x:v>12</x:v>
      </x:c>
      <x:c r="T59" s="84" t="n">
        <x:v>20</x:v>
      </x:c>
      <x:c r="U59" s="80" t="str">
        <x:v>Alder Lake</x:v>
      </x:c>
      <x:c r="V59" s="85" t="n">
        <x:v>4.9</x:v>
      </x:c>
      <x:c r="W59" s="85" t="n">
        <x:v>65</x:v>
      </x:c>
      <x:c r="X59" s="80"/>
      <x:c r="Y59" s="81" t="b">
        <x:v>0</x:v>
      </x:c>
      <x:c r="Z59" s="81" t="b">
        <x:v>0</x:v>
      </x:c>
      <x:c r="AA59" s="80" t="str">
        <x:v>low</x:v>
      </x:c>
      <x:c r="AB59" s="80"/>
      <x:c r="AC59" s="80"/>
      <x:c r="AD59" s="83" t="n">
        <x:v>44565</x:v>
      </x:c>
      <x:c r="AE59" s="80" t="str">
        <x:v>2022-01-04</x:v>
      </x:c>
      <x:c r="AF59" s="80" t="str">
        <x:v>exact</x:v>
      </x:c>
      <x:c r="AG59" s="80" t="str">
        <x:v>Core i7</x:v>
      </x:c>
      <x:c r="AH59" s="80" t="str">
        <x:v>12th Gen Core</x:v>
      </x:c>
      <x:c r="AI59" s="86" t="n">
        <x:v>8</x:v>
      </x:c>
      <x:c r="AJ59" s="86" t="n">
        <x:v>4</x:v>
      </x:c>
      <x:c r="AK59" s="86" t="n">
        <x:v>25</x:v>
      </x:c>
      <x:c r="AL59" s="86" t="n">
        <x:v>30185</x:v>
      </x:c>
      <x:c r="AM59" s="86" t="n">
        <x:v>3841</x:v>
      </x:c>
      <x:c r="AN59" s="83" t="n">
        <x:v>46218</x:v>
      </x:c>
    </x:row>
    <x:row r="60">
      <x:c r="A60" s="82" t="str">
        <x:v>intel-core-i7-12700k</x:v>
      </x:c>
      <x:c r="B60" s="80" t="str">
        <x:v>Intel</x:v>
      </x:c>
      <x:c r="C60" s="80" t="str">
        <x:v>Core i7-12700K</x:v>
      </x:c>
      <x:c r="D60" s="80" t="str">
        <x:v>Intel Core i7-12700K</x:v>
      </x:c>
      <x:c r="E60" s="80"/>
      <x:c r="F60" s="80"/>
      <x:c r="G60" s="80"/>
      <x:c r="H60" s="80"/>
      <x:c r="I60" s="80" t="str">
        <x:v>Core i7-12700K</x:v>
      </x:c>
      <x:c r="J60" s="80" t="str">
        <x:v>research_required</x:v>
      </x:c>
      <x:c r="K60" s="80" t="str">
        <x:v>unrated</x:v>
      </x:c>
      <x:c r="L60" s="83" t="n">
        <x:v>46218</x:v>
      </x:c>
      <x:c r="M60" s="14" t="str">
        <x:v>公式仕様とPassMark性能値を登録。ASIN/JAN、国内リテール品、保証条件、独立レビューは要確認。</x:v>
      </x:c>
      <x:c r="N60" s="14"/>
      <x:c r="O60" s="14"/>
      <x:c r="P60" s="14" t="str">
        <x:v>型番識別子・国内保証・販売形態を未確認</x:v>
      </x:c>
      <x:c r="Q60" s="14" t="str">
        <x:v>PassMarkスコアは2026-07-15確認時点。掲載値は更新されるため価格判定時に再確認してください。</x:v>
      </x:c>
      <x:c r="R60" s="80" t="str">
        <x:v>FCLGA1700</x:v>
      </x:c>
      <x:c r="S60" s="84" t="n">
        <x:v>12</x:v>
      </x:c>
      <x:c r="T60" s="84" t="n">
        <x:v>20</x:v>
      </x:c>
      <x:c r="U60" s="80" t="str">
        <x:v>Alder Lake</x:v>
      </x:c>
      <x:c r="V60" s="85" t="n">
        <x:v>5</x:v>
      </x:c>
      <x:c r="W60" s="85" t="n">
        <x:v>190</x:v>
      </x:c>
      <x:c r="X60" s="80"/>
      <x:c r="Y60" s="81" t="b">
        <x:v>0</x:v>
      </x:c>
      <x:c r="Z60" s="81" t="b">
        <x:v>1</x:v>
      </x:c>
      <x:c r="AA60" s="80" t="str">
        <x:v>high</x:v>
      </x:c>
      <x:c r="AB60" s="80"/>
      <x:c r="AC60" s="80"/>
      <x:c r="AD60" s="83" t="n">
        <x:v>44504</x:v>
      </x:c>
      <x:c r="AE60" s="80" t="str">
        <x:v>2021-11-04</x:v>
      </x:c>
      <x:c r="AF60" s="80" t="str">
        <x:v>exact</x:v>
      </x:c>
      <x:c r="AG60" s="80" t="str">
        <x:v>Core i7</x:v>
      </x:c>
      <x:c r="AH60" s="80" t="str">
        <x:v>12th Gen Core</x:v>
      </x:c>
      <x:c r="AI60" s="86" t="n">
        <x:v>8</x:v>
      </x:c>
      <x:c r="AJ60" s="86" t="n">
        <x:v>4</x:v>
      </x:c>
      <x:c r="AK60" s="86" t="n">
        <x:v>25</x:v>
      </x:c>
      <x:c r="AL60" s="86" t="n">
        <x:v>34267</x:v>
      </x:c>
      <x:c r="AM60" s="86" t="n">
        <x:v>4004</x:v>
      </x:c>
      <x:c r="AN60" s="83" t="n">
        <x:v>46218</x:v>
      </x:c>
    </x:row>
    <x:row r="61">
      <x:c r="A61" s="82" t="str">
        <x:v>intel-core-i7-12700kf</x:v>
      </x:c>
      <x:c r="B61" s="80" t="str">
        <x:v>Intel</x:v>
      </x:c>
      <x:c r="C61" s="80" t="str">
        <x:v>Core i7-12700KF</x:v>
      </x:c>
      <x:c r="D61" s="80" t="str">
        <x:v>Intel Core i7-12700KF</x:v>
      </x:c>
      <x:c r="E61" s="80"/>
      <x:c r="F61" s="80"/>
      <x:c r="G61" s="80"/>
      <x:c r="H61" s="80"/>
      <x:c r="I61" s="80" t="str">
        <x:v>Core i7-12700KF</x:v>
      </x:c>
      <x:c r="J61" s="80" t="str">
        <x:v>research_required</x:v>
      </x:c>
      <x:c r="K61" s="80" t="str">
        <x:v>unrated</x:v>
      </x:c>
      <x:c r="L61" s="83" t="n">
        <x:v>46218</x:v>
      </x:c>
      <x:c r="M61" s="14" t="str">
        <x:v>公式仕様とPassMark性能値を登録。ASIN/JAN、国内リテール品、保証条件、独立レビューは要確認。</x:v>
      </x:c>
      <x:c r="N61" s="14"/>
      <x:c r="O61" s="14"/>
      <x:c r="P61" s="14" t="str">
        <x:v>型番識別子・国内保証・販売形態を未確認</x:v>
      </x:c>
      <x:c r="Q61" s="14" t="str">
        <x:v>PassMarkスコアは2026-07-15確認時点。掲載値は更新されるため価格判定時に再確認してください。</x:v>
      </x:c>
      <x:c r="R61" s="80" t="str">
        <x:v>FCLGA1700</x:v>
      </x:c>
      <x:c r="S61" s="84" t="n">
        <x:v>12</x:v>
      </x:c>
      <x:c r="T61" s="84" t="n">
        <x:v>20</x:v>
      </x:c>
      <x:c r="U61" s="80" t="str">
        <x:v>Alder Lake</x:v>
      </x:c>
      <x:c r="V61" s="85" t="n">
        <x:v>5</x:v>
      </x:c>
      <x:c r="W61" s="85" t="n">
        <x:v>190</x:v>
      </x:c>
      <x:c r="X61" s="80"/>
      <x:c r="Y61" s="81" t="b">
        <x:v>0</x:v>
      </x:c>
      <x:c r="Z61" s="81" t="b">
        <x:v>0</x:v>
      </x:c>
      <x:c r="AA61" s="80" t="str">
        <x:v>high</x:v>
      </x:c>
      <x:c r="AB61" s="80"/>
      <x:c r="AC61" s="80"/>
      <x:c r="AD61" s="83" t="n">
        <x:v>44504</x:v>
      </x:c>
      <x:c r="AE61" s="80" t="str">
        <x:v>2021-11-04</x:v>
      </x:c>
      <x:c r="AF61" s="80" t="str">
        <x:v>exact</x:v>
      </x:c>
      <x:c r="AG61" s="80" t="str">
        <x:v>Core i7</x:v>
      </x:c>
      <x:c r="AH61" s="80" t="str">
        <x:v>12th Gen Core</x:v>
      </x:c>
      <x:c r="AI61" s="86" t="n">
        <x:v>8</x:v>
      </x:c>
      <x:c r="AJ61" s="86" t="n">
        <x:v>4</x:v>
      </x:c>
      <x:c r="AK61" s="86" t="n">
        <x:v>25</x:v>
      </x:c>
      <x:c r="AL61" s="86" t="n">
        <x:v>33945</x:v>
      </x:c>
      <x:c r="AM61" s="86" t="n">
        <x:v>3980</x:v>
      </x:c>
      <x:c r="AN61" s="83" t="n">
        <x:v>46218</x:v>
      </x:c>
    </x:row>
    <x:row r="62">
      <x:c r="A62" s="82" t="str">
        <x:v>intel-core-i9-12900</x:v>
      </x:c>
      <x:c r="B62" s="80" t="str">
        <x:v>Intel</x:v>
      </x:c>
      <x:c r="C62" s="80" t="str">
        <x:v>Core i9-12900</x:v>
      </x:c>
      <x:c r="D62" s="80" t="str">
        <x:v>Intel Core i9-12900</x:v>
      </x:c>
      <x:c r="E62" s="80"/>
      <x:c r="F62" s="80"/>
      <x:c r="G62" s="80"/>
      <x:c r="H62" s="80"/>
      <x:c r="I62" s="80" t="str">
        <x:v>Core i9-12900</x:v>
      </x:c>
      <x:c r="J62" s="80" t="str">
        <x:v>research_required</x:v>
      </x:c>
      <x:c r="K62" s="80" t="str">
        <x:v>unrated</x:v>
      </x:c>
      <x:c r="L62" s="83" t="n">
        <x:v>46218</x:v>
      </x:c>
      <x:c r="M62" s="14" t="str">
        <x:v>公式仕様とPassMark性能値を登録。ASIN/JAN、国内リテール品、保証条件、独立レビューは要確認。</x:v>
      </x:c>
      <x:c r="N62" s="14"/>
      <x:c r="O62" s="14"/>
      <x:c r="P62" s="14" t="str">
        <x:v>型番識別子・国内保証・販売形態を未確認</x:v>
      </x:c>
      <x:c r="Q62" s="14" t="str">
        <x:v>PassMarkスコアは2026-07-15確認時点。掲載値は更新されるため価格判定時に再確認してください。</x:v>
      </x:c>
      <x:c r="R62" s="80" t="str">
        <x:v>FCLGA1700</x:v>
      </x:c>
      <x:c r="S62" s="84" t="n">
        <x:v>16</x:v>
      </x:c>
      <x:c r="T62" s="84" t="n">
        <x:v>24</x:v>
      </x:c>
      <x:c r="U62" s="80" t="str">
        <x:v>Alder Lake</x:v>
      </x:c>
      <x:c r="V62" s="85" t="n">
        <x:v>5.1</x:v>
      </x:c>
      <x:c r="W62" s="85" t="n">
        <x:v>65</x:v>
      </x:c>
      <x:c r="X62" s="80"/>
      <x:c r="Y62" s="81" t="b">
        <x:v>0</x:v>
      </x:c>
      <x:c r="Z62" s="81" t="b">
        <x:v>1</x:v>
      </x:c>
      <x:c r="AA62" s="80" t="str">
        <x:v>low</x:v>
      </x:c>
      <x:c r="AB62" s="80"/>
      <x:c r="AC62" s="80"/>
      <x:c r="AD62" s="83" t="n">
        <x:v>44565</x:v>
      </x:c>
      <x:c r="AE62" s="80" t="str">
        <x:v>2022-01-04</x:v>
      </x:c>
      <x:c r="AF62" s="80" t="str">
        <x:v>exact</x:v>
      </x:c>
      <x:c r="AG62" s="80" t="str">
        <x:v>Core i9</x:v>
      </x:c>
      <x:c r="AH62" s="80" t="str">
        <x:v>12th Gen Core</x:v>
      </x:c>
      <x:c r="AI62" s="86" t="n">
        <x:v>8</x:v>
      </x:c>
      <x:c r="AJ62" s="86" t="n">
        <x:v>8</x:v>
      </x:c>
      <x:c r="AK62" s="86" t="n">
        <x:v>30</x:v>
      </x:c>
      <x:c r="AL62" s="86" t="n">
        <x:v>33613</x:v>
      </x:c>
      <x:c r="AM62" s="86" t="n">
        <x:v>3999</x:v>
      </x:c>
      <x:c r="AN62" s="83" t="n">
        <x:v>46218</x:v>
      </x:c>
    </x:row>
    <x:row r="63">
      <x:c r="A63" s="82" t="str">
        <x:v>intel-core-i9-12900f</x:v>
      </x:c>
      <x:c r="B63" s="80" t="str">
        <x:v>Intel</x:v>
      </x:c>
      <x:c r="C63" s="80" t="str">
        <x:v>Core i9-12900F</x:v>
      </x:c>
      <x:c r="D63" s="80" t="str">
        <x:v>Intel Core i9-12900F</x:v>
      </x:c>
      <x:c r="E63" s="80"/>
      <x:c r="F63" s="80"/>
      <x:c r="G63" s="80"/>
      <x:c r="H63" s="80"/>
      <x:c r="I63" s="80" t="str">
        <x:v>Core i9-12900F</x:v>
      </x:c>
      <x:c r="J63" s="80" t="str">
        <x:v>research_required</x:v>
      </x:c>
      <x:c r="K63" s="80" t="str">
        <x:v>unrated</x:v>
      </x:c>
      <x:c r="L63" s="83" t="n">
        <x:v>46218</x:v>
      </x:c>
      <x:c r="M63" s="14" t="str">
        <x:v>公式仕様とPassMark性能値を登録。ASIN/JAN、国内リテール品、保証条件、独立レビューは要確認。</x:v>
      </x:c>
      <x:c r="N63" s="14"/>
      <x:c r="O63" s="14"/>
      <x:c r="P63" s="14" t="str">
        <x:v>型番識別子・国内保証・販売形態を未確認</x:v>
      </x:c>
      <x:c r="Q63" s="14" t="str">
        <x:v>PassMarkスコアは2026-07-15確認時点。掲載値は更新されるため価格判定時に再確認してください。</x:v>
      </x:c>
      <x:c r="R63" s="80" t="str">
        <x:v>FCLGA1700</x:v>
      </x:c>
      <x:c r="S63" s="84" t="n">
        <x:v>16</x:v>
      </x:c>
      <x:c r="T63" s="84" t="n">
        <x:v>24</x:v>
      </x:c>
      <x:c r="U63" s="80" t="str">
        <x:v>Alder Lake</x:v>
      </x:c>
      <x:c r="V63" s="85" t="n">
        <x:v>5.1</x:v>
      </x:c>
      <x:c r="W63" s="85" t="n">
        <x:v>65</x:v>
      </x:c>
      <x:c r="X63" s="80"/>
      <x:c r="Y63" s="81" t="b">
        <x:v>0</x:v>
      </x:c>
      <x:c r="Z63" s="81" t="b">
        <x:v>0</x:v>
      </x:c>
      <x:c r="AA63" s="80" t="str">
        <x:v>low</x:v>
      </x:c>
      <x:c r="AB63" s="80"/>
      <x:c r="AC63" s="80"/>
      <x:c r="AD63" s="83" t="n">
        <x:v>44565</x:v>
      </x:c>
      <x:c r="AE63" s="80" t="str">
        <x:v>2022-01-04</x:v>
      </x:c>
      <x:c r="AF63" s="80" t="str">
        <x:v>exact</x:v>
      </x:c>
      <x:c r="AG63" s="80" t="str">
        <x:v>Core i9</x:v>
      </x:c>
      <x:c r="AH63" s="80" t="str">
        <x:v>12th Gen Core</x:v>
      </x:c>
      <x:c r="AI63" s="86" t="n">
        <x:v>8</x:v>
      </x:c>
      <x:c r="AJ63" s="86" t="n">
        <x:v>8</x:v>
      </x:c>
      <x:c r="AK63" s="86" t="n">
        <x:v>30</x:v>
      </x:c>
      <x:c r="AL63" s="86" t="n">
        <x:v>35752</x:v>
      </x:c>
      <x:c r="AM63" s="86" t="n">
        <x:v>4010</x:v>
      </x:c>
      <x:c r="AN63" s="83" t="n">
        <x:v>46218</x:v>
      </x:c>
    </x:row>
    <x:row r="64">
      <x:c r="A64" s="82" t="str">
        <x:v>intel-core-i9-12900k</x:v>
      </x:c>
      <x:c r="B64" s="80" t="str">
        <x:v>Intel</x:v>
      </x:c>
      <x:c r="C64" s="80" t="str">
        <x:v>Core i9-12900K</x:v>
      </x:c>
      <x:c r="D64" s="80" t="str">
        <x:v>Intel Core i9-12900K</x:v>
      </x:c>
      <x:c r="E64" s="80"/>
      <x:c r="F64" s="80"/>
      <x:c r="G64" s="80"/>
      <x:c r="H64" s="80"/>
      <x:c r="I64" s="80" t="str">
        <x:v>Core i9-12900K</x:v>
      </x:c>
      <x:c r="J64" s="80" t="str">
        <x:v>research_required</x:v>
      </x:c>
      <x:c r="K64" s="80" t="str">
        <x:v>unrated</x:v>
      </x:c>
      <x:c r="L64" s="83" t="n">
        <x:v>46218</x:v>
      </x:c>
      <x:c r="M64" s="14" t="str">
        <x:v>公式仕様とPassMark性能値を登録。ASIN/JAN、国内リテール品、保証条件、独立レビューは要確認。</x:v>
      </x:c>
      <x:c r="N64" s="14"/>
      <x:c r="O64" s="14"/>
      <x:c r="P64" s="14" t="str">
        <x:v>型番識別子・国内保証・販売形態を未確認</x:v>
      </x:c>
      <x:c r="Q64" s="14" t="str">
        <x:v>PassMarkスコアは2026-07-15確認時点。掲載値は更新されるため価格判定時に再確認してください。</x:v>
      </x:c>
      <x:c r="R64" s="80" t="str">
        <x:v>FCLGA1700</x:v>
      </x:c>
      <x:c r="S64" s="84" t="n">
        <x:v>16</x:v>
      </x:c>
      <x:c r="T64" s="84" t="n">
        <x:v>24</x:v>
      </x:c>
      <x:c r="U64" s="80" t="str">
        <x:v>Alder Lake</x:v>
      </x:c>
      <x:c r="V64" s="85" t="n">
        <x:v>5.2</x:v>
      </x:c>
      <x:c r="W64" s="85" t="n">
        <x:v>241</x:v>
      </x:c>
      <x:c r="X64" s="80"/>
      <x:c r="Y64" s="81" t="b">
        <x:v>0</x:v>
      </x:c>
      <x:c r="Z64" s="81" t="b">
        <x:v>1</x:v>
      </x:c>
      <x:c r="AA64" s="80" t="str">
        <x:v>high</x:v>
      </x:c>
      <x:c r="AB64" s="80"/>
      <x:c r="AC64" s="80"/>
      <x:c r="AD64" s="83" t="n">
        <x:v>44504</x:v>
      </x:c>
      <x:c r="AE64" s="80" t="str">
        <x:v>2021-11-04</x:v>
      </x:c>
      <x:c r="AF64" s="80" t="str">
        <x:v>exact</x:v>
      </x:c>
      <x:c r="AG64" s="80" t="str">
        <x:v>Core i9</x:v>
      </x:c>
      <x:c r="AH64" s="80" t="str">
        <x:v>12th Gen Core</x:v>
      </x:c>
      <x:c r="AI64" s="86" t="n">
        <x:v>8</x:v>
      </x:c>
      <x:c r="AJ64" s="86" t="n">
        <x:v>8</x:v>
      </x:c>
      <x:c r="AK64" s="86" t="n">
        <x:v>30</x:v>
      </x:c>
      <x:c r="AL64" s="86" t="n">
        <x:v>41122</x:v>
      </x:c>
      <x:c r="AM64" s="86" t="n">
        <x:v>4128</x:v>
      </x:c>
      <x:c r="AN64" s="83" t="n">
        <x:v>46218</x:v>
      </x:c>
    </x:row>
    <x:row r="65">
      <x:c r="A65" s="82" t="str">
        <x:v>intel-core-i9-12900kf</x:v>
      </x:c>
      <x:c r="B65" s="80" t="str">
        <x:v>Intel</x:v>
      </x:c>
      <x:c r="C65" s="80" t="str">
        <x:v>Core i9-12900KF</x:v>
      </x:c>
      <x:c r="D65" s="80" t="str">
        <x:v>Intel Core i9-12900KF</x:v>
      </x:c>
      <x:c r="E65" s="80"/>
      <x:c r="F65" s="80"/>
      <x:c r="G65" s="80"/>
      <x:c r="H65" s="80"/>
      <x:c r="I65" s="80" t="str">
        <x:v>Core i9-12900KF</x:v>
      </x:c>
      <x:c r="J65" s="80" t="str">
        <x:v>research_required</x:v>
      </x:c>
      <x:c r="K65" s="80" t="str">
        <x:v>unrated</x:v>
      </x:c>
      <x:c r="L65" s="83" t="n">
        <x:v>46218</x:v>
      </x:c>
      <x:c r="M65" s="14" t="str">
        <x:v>公式仕様とPassMark性能値を登録。ASIN/JAN、国内リテール品、保証条件、独立レビューは要確認。</x:v>
      </x:c>
      <x:c r="N65" s="14"/>
      <x:c r="O65" s="14"/>
      <x:c r="P65" s="14" t="str">
        <x:v>型番識別子・国内保証・販売形態を未確認</x:v>
      </x:c>
      <x:c r="Q65" s="14" t="str">
        <x:v>PassMarkスコアは2026-07-15確認時点。掲載値は更新されるため価格判定時に再確認してください。</x:v>
      </x:c>
      <x:c r="R65" s="80" t="str">
        <x:v>FCLGA1700</x:v>
      </x:c>
      <x:c r="S65" s="84" t="n">
        <x:v>16</x:v>
      </x:c>
      <x:c r="T65" s="84" t="n">
        <x:v>24</x:v>
      </x:c>
      <x:c r="U65" s="80" t="str">
        <x:v>Alder Lake</x:v>
      </x:c>
      <x:c r="V65" s="85" t="n">
        <x:v>5.2</x:v>
      </x:c>
      <x:c r="W65" s="85" t="n">
        <x:v>241</x:v>
      </x:c>
      <x:c r="X65" s="80"/>
      <x:c r="Y65" s="81" t="b">
        <x:v>0</x:v>
      </x:c>
      <x:c r="Z65" s="81" t="b">
        <x:v>0</x:v>
      </x:c>
      <x:c r="AA65" s="80" t="str">
        <x:v>high</x:v>
      </x:c>
      <x:c r="AB65" s="80"/>
      <x:c r="AC65" s="80"/>
      <x:c r="AD65" s="83" t="n">
        <x:v>44504</x:v>
      </x:c>
      <x:c r="AE65" s="80" t="str">
        <x:v>2021-11-04</x:v>
      </x:c>
      <x:c r="AF65" s="80" t="str">
        <x:v>exact</x:v>
      </x:c>
      <x:c r="AG65" s="80" t="str">
        <x:v>Core i9</x:v>
      </x:c>
      <x:c r="AH65" s="80" t="str">
        <x:v>12th Gen Core</x:v>
      </x:c>
      <x:c r="AI65" s="86" t="n">
        <x:v>8</x:v>
      </x:c>
      <x:c r="AJ65" s="86" t="n">
        <x:v>8</x:v>
      </x:c>
      <x:c r="AK65" s="86" t="n">
        <x:v>30</x:v>
      </x:c>
      <x:c r="AL65" s="86" t="n">
        <x:v>40514</x:v>
      </x:c>
      <x:c r="AM65" s="86" t="n">
        <x:v>4119</x:v>
      </x:c>
      <x:c r="AN65" s="83" t="n">
        <x:v>46218</x:v>
      </x:c>
    </x:row>
    <x:row r="66">
      <x:c r="A66" s="82" t="str">
        <x:v>intel-core-i9-12900ks</x:v>
      </x:c>
      <x:c r="B66" s="80" t="str">
        <x:v>Intel</x:v>
      </x:c>
      <x:c r="C66" s="80" t="str">
        <x:v>Core i9-12900KS</x:v>
      </x:c>
      <x:c r="D66" s="80" t="str">
        <x:v>Intel Core i9-12900KS</x:v>
      </x:c>
      <x:c r="E66" s="80"/>
      <x:c r="F66" s="80"/>
      <x:c r="G66" s="80"/>
      <x:c r="H66" s="80"/>
      <x:c r="I66" s="80" t="str">
        <x:v>Core i9-12900KS</x:v>
      </x:c>
      <x:c r="J66" s="80" t="str">
        <x:v>research_required</x:v>
      </x:c>
      <x:c r="K66" s="80" t="str">
        <x:v>unrated</x:v>
      </x:c>
      <x:c r="L66" s="83" t="n">
        <x:v>46218</x:v>
      </x:c>
      <x:c r="M66" s="14" t="str">
        <x:v>公式仕様とPassMark性能値を登録。ASIN/JAN、国内リテール品、保証条件、独立レビューは要確認。</x:v>
      </x:c>
      <x:c r="N66" s="14"/>
      <x:c r="O66" s="14"/>
      <x:c r="P66" s="14" t="str">
        <x:v>型番識別子・国内保証・販売形態を未確認</x:v>
      </x:c>
      <x:c r="Q66" s="14" t="str">
        <x:v>PassMarkスコアは2026-07-15確認時点。掲載値は更新されるため価格判定時に再確認してください。</x:v>
      </x:c>
      <x:c r="R66" s="80" t="str">
        <x:v>LGA 1700</x:v>
      </x:c>
      <x:c r="S66" s="84" t="n">
        <x:v>16</x:v>
      </x:c>
      <x:c r="T66" s="84" t="n">
        <x:v>24</x:v>
      </x:c>
      <x:c r="U66" s="80" t="str">
        <x:v>Alder Lake</x:v>
      </x:c>
      <x:c r="V66" s="85" t="n">
        <x:v>5.5</x:v>
      </x:c>
      <x:c r="W66" s="85" t="n">
        <x:v>150</x:v>
      </x:c>
      <x:c r="X66" s="80"/>
      <x:c r="Y66" s="81" t="b">
        <x:v>0</x:v>
      </x:c>
      <x:c r="Z66" s="81" t="b">
        <x:v>1</x:v>
      </x:c>
      <x:c r="AA66" s="80" t="str">
        <x:v>high</x:v>
      </x:c>
      <x:c r="AB66" s="80"/>
      <x:c r="AC66" s="80"/>
      <x:c r="AD66" s="83" t="n">
        <x:v>44656</x:v>
      </x:c>
      <x:c r="AE66" s="80" t="str">
        <x:v>2022-04-05</x:v>
      </x:c>
      <x:c r="AF66" s="80" t="str">
        <x:v>exact</x:v>
      </x:c>
      <x:c r="AG66" s="80" t="str">
        <x:v>Core i9</x:v>
      </x:c>
      <x:c r="AH66" s="80" t="str">
        <x:v>12th Gen Core</x:v>
      </x:c>
      <x:c r="AI66" s="86" t="n">
        <x:v>8</x:v>
      </x:c>
      <x:c r="AJ66" s="86" t="n">
        <x:v>8</x:v>
      </x:c>
      <x:c r="AK66" s="86" t="n">
        <x:v>30</x:v>
      </x:c>
      <x:c r="AL66" s="86" t="n">
        <x:v>43419</x:v>
      </x:c>
      <x:c r="AM66" s="86" t="n">
        <x:v>4324</x:v>
      </x:c>
      <x:c r="AN66" s="83" t="n">
        <x:v>46218</x:v>
      </x:c>
    </x:row>
    <x:row r="67">
      <x:c r="A67" s="82" t="str">
        <x:v>intel-core-i3-13100</x:v>
      </x:c>
      <x:c r="B67" s="80" t="str">
        <x:v>Intel</x:v>
      </x:c>
      <x:c r="C67" s="80" t="str">
        <x:v>Core i3-13100</x:v>
      </x:c>
      <x:c r="D67" s="80" t="str">
        <x:v>Intel Core i3-13100</x:v>
      </x:c>
      <x:c r="E67" s="80"/>
      <x:c r="F67" s="80"/>
      <x:c r="G67" s="80"/>
      <x:c r="H67" s="80"/>
      <x:c r="I67" s="80" t="str">
        <x:v>Core i3-13100</x:v>
      </x:c>
      <x:c r="J67" s="80" t="str">
        <x:v>research_required</x:v>
      </x:c>
      <x:c r="K67" s="80" t="str">
        <x:v>unrated</x:v>
      </x:c>
      <x:c r="L67" s="83" t="n">
        <x:v>46218</x:v>
      </x:c>
      <x:c r="M67" s="14" t="str">
        <x:v>公式仕様とPassMark性能値を登録。ASIN/JAN、国内リテール品、保証条件、独立レビューは要確認。</x:v>
      </x:c>
      <x:c r="N67" s="14"/>
      <x:c r="O67" s="14"/>
      <x:c r="P67" s="14" t="str">
        <x:v>型番識別子・国内保証・販売形態を未確認</x:v>
      </x:c>
      <x:c r="Q67" s="14" t="str">
        <x:v>PassMarkスコアは2026-07-15確認時点。掲載値は更新されるため価格判定時に再確認してください。</x:v>
      </x:c>
      <x:c r="R67" s="80" t="str">
        <x:v>FCLGA1700</x:v>
      </x:c>
      <x:c r="S67" s="84" t="n">
        <x:v>4</x:v>
      </x:c>
      <x:c r="T67" s="84" t="n">
        <x:v>8</x:v>
      </x:c>
      <x:c r="U67" s="80" t="str">
        <x:v>Raptor Lake</x:v>
      </x:c>
      <x:c r="V67" s="85" t="n">
        <x:v>4.5</x:v>
      </x:c>
      <x:c r="W67" s="85" t="n">
        <x:v>60</x:v>
      </x:c>
      <x:c r="X67" s="80"/>
      <x:c r="Y67" s="81" t="b">
        <x:v>0</x:v>
      </x:c>
      <x:c r="Z67" s="81" t="b">
        <x:v>1</x:v>
      </x:c>
      <x:c r="AA67" s="80" t="str">
        <x:v>low</x:v>
      </x:c>
      <x:c r="AB67" s="80"/>
      <x:c r="AC67" s="80"/>
      <x:c r="AD67" s="83" t="n">
        <x:v>44929</x:v>
      </x:c>
      <x:c r="AE67" s="80" t="str">
        <x:v>2023-01-03</x:v>
      </x:c>
      <x:c r="AF67" s="80" t="str">
        <x:v>exact</x:v>
      </x:c>
      <x:c r="AG67" s="80" t="str">
        <x:v>Core i3</x:v>
      </x:c>
      <x:c r="AH67" s="80" t="str">
        <x:v>13th Gen Core</x:v>
      </x:c>
      <x:c r="AI67" s="86" t="n">
        <x:v>4</x:v>
      </x:c>
      <x:c r="AJ67" s="86" t="n">
        <x:v>0</x:v>
      </x:c>
      <x:c r="AK67" s="86" t="n">
        <x:v>12</x:v>
      </x:c>
      <x:c r="AL67" s="86" t="n">
        <x:v>14112</x:v>
      </x:c>
      <x:c r="AM67" s="86" t="n">
        <x:v>3535</x:v>
      </x:c>
      <x:c r="AN67" s="83" t="n">
        <x:v>46218</x:v>
      </x:c>
    </x:row>
    <x:row r="68">
      <x:c r="A68" s="82" t="str">
        <x:v>intel-core-i3-13100f</x:v>
      </x:c>
      <x:c r="B68" s="80" t="str">
        <x:v>Intel</x:v>
      </x:c>
      <x:c r="C68" s="80" t="str">
        <x:v>Core i3-13100F</x:v>
      </x:c>
      <x:c r="D68" s="80" t="str">
        <x:v>Intel Core i3-13100F</x:v>
      </x:c>
      <x:c r="E68" s="80"/>
      <x:c r="F68" s="80"/>
      <x:c r="G68" s="80"/>
      <x:c r="H68" s="80"/>
      <x:c r="I68" s="80" t="str">
        <x:v>Core i3-13100F</x:v>
      </x:c>
      <x:c r="J68" s="80" t="str">
        <x:v>research_required</x:v>
      </x:c>
      <x:c r="K68" s="80" t="str">
        <x:v>unrated</x:v>
      </x:c>
      <x:c r="L68" s="83" t="n">
        <x:v>46218</x:v>
      </x:c>
      <x:c r="M68" s="14" t="str">
        <x:v>公式仕様とPassMark性能値を登録。ASIN/JAN、国内リテール品、保証条件、独立レビューは要確認。</x:v>
      </x:c>
      <x:c r="N68" s="14"/>
      <x:c r="O68" s="14"/>
      <x:c r="P68" s="14" t="str">
        <x:v>型番識別子・国内保証・販売形態を未確認</x:v>
      </x:c>
      <x:c r="Q68" s="14" t="str">
        <x:v>PassMarkスコアは2026-07-15確認時点。掲載値は更新されるため価格判定時に再確認してください。</x:v>
      </x:c>
      <x:c r="R68" s="80" t="str">
        <x:v>FCLGA1700</x:v>
      </x:c>
      <x:c r="S68" s="84" t="n">
        <x:v>4</x:v>
      </x:c>
      <x:c r="T68" s="84" t="n">
        <x:v>8</x:v>
      </x:c>
      <x:c r="U68" s="80" t="str">
        <x:v>Raptor Lake</x:v>
      </x:c>
      <x:c r="V68" s="85" t="n">
        <x:v>4.5</x:v>
      </x:c>
      <x:c r="W68" s="85" t="n">
        <x:v>58</x:v>
      </x:c>
      <x:c r="X68" s="80"/>
      <x:c r="Y68" s="81" t="b">
        <x:v>0</x:v>
      </x:c>
      <x:c r="Z68" s="81" t="b">
        <x:v>0</x:v>
      </x:c>
      <x:c r="AA68" s="80" t="str">
        <x:v>low</x:v>
      </x:c>
      <x:c r="AB68" s="80"/>
      <x:c r="AC68" s="80"/>
      <x:c r="AD68" s="83" t="n">
        <x:v>44929</x:v>
      </x:c>
      <x:c r="AE68" s="80" t="str">
        <x:v>2023-01-03</x:v>
      </x:c>
      <x:c r="AF68" s="80" t="str">
        <x:v>exact</x:v>
      </x:c>
      <x:c r="AG68" s="80" t="str">
        <x:v>Core i3</x:v>
      </x:c>
      <x:c r="AH68" s="80" t="str">
        <x:v>13th Gen Core</x:v>
      </x:c>
      <x:c r="AI68" s="86" t="n">
        <x:v>4</x:v>
      </x:c>
      <x:c r="AJ68" s="86" t="n">
        <x:v>0</x:v>
      </x:c>
      <x:c r="AK68" s="86" t="n">
        <x:v>12</x:v>
      </x:c>
      <x:c r="AL68" s="86" t="n">
        <x:v>14664</x:v>
      </x:c>
      <x:c r="AM68" s="86" t="n">
        <x:v>3602</x:v>
      </x:c>
      <x:c r="AN68" s="83" t="n">
        <x:v>46218</x:v>
      </x:c>
    </x:row>
    <x:row r="69">
      <x:c r="A69" s="82" t="str">
        <x:v>intel-core-i5-13400</x:v>
      </x:c>
      <x:c r="B69" s="80" t="str">
        <x:v>Intel</x:v>
      </x:c>
      <x:c r="C69" s="80" t="str">
        <x:v>Core i5-13400</x:v>
      </x:c>
      <x:c r="D69" s="80" t="str">
        <x:v>Intel Core i5-13400</x:v>
      </x:c>
      <x:c r="E69" s="80"/>
      <x:c r="F69" s="80"/>
      <x:c r="G69" s="80"/>
      <x:c r="H69" s="80"/>
      <x:c r="I69" s="80" t="str">
        <x:v>Core i5-13400</x:v>
      </x:c>
      <x:c r="J69" s="80" t="str">
        <x:v>research_required</x:v>
      </x:c>
      <x:c r="K69" s="80" t="str">
        <x:v>unrated</x:v>
      </x:c>
      <x:c r="L69" s="83" t="n">
        <x:v>46218</x:v>
      </x:c>
      <x:c r="M69" s="14" t="str">
        <x:v>公式仕様とPassMark性能値を登録。ASIN/JAN、国内リテール品、保証条件、独立レビューは要確認。</x:v>
      </x:c>
      <x:c r="N69" s="14"/>
      <x:c r="O69" s="14"/>
      <x:c r="P69" s="14" t="str">
        <x:v>型番識別子・国内保証・販売形態を未確認</x:v>
      </x:c>
      <x:c r="Q69" s="14" t="str">
        <x:v>PassMarkスコアは2026-07-15確認時点。掲載値は更新されるため価格判定時に再確認してください。</x:v>
      </x:c>
      <x:c r="R69" s="80" t="str">
        <x:v>FCLGA1700</x:v>
      </x:c>
      <x:c r="S69" s="84" t="n">
        <x:v>10</x:v>
      </x:c>
      <x:c r="T69" s="84" t="n">
        <x:v>16</x:v>
      </x:c>
      <x:c r="U69" s="80" t="str">
        <x:v>Raptor Lake</x:v>
      </x:c>
      <x:c r="V69" s="85" t="n">
        <x:v>4.6</x:v>
      </x:c>
      <x:c r="W69" s="85" t="n">
        <x:v>154</x:v>
      </x:c>
      <x:c r="X69" s="80"/>
      <x:c r="Y69" s="81" t="b">
        <x:v>0</x:v>
      </x:c>
      <x:c r="Z69" s="81" t="b">
        <x:v>1</x:v>
      </x:c>
      <x:c r="AA69" s="80" t="str">
        <x:v>high</x:v>
      </x:c>
      <x:c r="AB69" s="80"/>
      <x:c r="AC69" s="80"/>
      <x:c r="AD69" s="83" t="n">
        <x:v>44929</x:v>
      </x:c>
      <x:c r="AE69" s="80" t="str">
        <x:v>2023-01-03</x:v>
      </x:c>
      <x:c r="AF69" s="80" t="str">
        <x:v>exact</x:v>
      </x:c>
      <x:c r="AG69" s="80" t="str">
        <x:v>Core i5</x:v>
      </x:c>
      <x:c r="AH69" s="80" t="str">
        <x:v>13th Gen Core</x:v>
      </x:c>
      <x:c r="AI69" s="86" t="n">
        <x:v>6</x:v>
      </x:c>
      <x:c r="AJ69" s="86" t="n">
        <x:v>4</x:v>
      </x:c>
      <x:c r="AK69" s="86" t="n">
        <x:v>20</x:v>
      </x:c>
      <x:c r="AL69" s="86" t="n">
        <x:v>23865</x:v>
      </x:c>
      <x:c r="AM69" s="86" t="n">
        <x:v>3578</x:v>
      </x:c>
      <x:c r="AN69" s="83" t="n">
        <x:v>46218</x:v>
      </x:c>
    </x:row>
    <x:row r="70">
      <x:c r="A70" s="82" t="str">
        <x:v>intel-core-i5-13400f</x:v>
      </x:c>
      <x:c r="B70" s="80" t="str">
        <x:v>Intel</x:v>
      </x:c>
      <x:c r="C70" s="80" t="str">
        <x:v>Core i5-13400F</x:v>
      </x:c>
      <x:c r="D70" s="80" t="str">
        <x:v>Intel Core i5-13400F</x:v>
      </x:c>
      <x:c r="E70" s="80"/>
      <x:c r="F70" s="80"/>
      <x:c r="G70" s="80"/>
      <x:c r="H70" s="80"/>
      <x:c r="I70" s="80" t="str">
        <x:v>Core i5-13400F</x:v>
      </x:c>
      <x:c r="J70" s="80" t="str">
        <x:v>research_required</x:v>
      </x:c>
      <x:c r="K70" s="80" t="str">
        <x:v>unrated</x:v>
      </x:c>
      <x:c r="L70" s="83" t="n">
        <x:v>46218</x:v>
      </x:c>
      <x:c r="M70" s="14" t="str">
        <x:v>公式仕様とPassMark性能値を登録。ASIN/JAN、国内リテール品、保証条件、独立レビューは要確認。</x:v>
      </x:c>
      <x:c r="N70" s="14"/>
      <x:c r="O70" s="14"/>
      <x:c r="P70" s="14" t="str">
        <x:v>型番識別子・国内保証・販売形態を未確認</x:v>
      </x:c>
      <x:c r="Q70" s="14" t="str">
        <x:v>PassMarkスコアは2026-07-15確認時点。掲載値は更新されるため価格判定時に再確認してください。</x:v>
      </x:c>
      <x:c r="R70" s="80" t="str">
        <x:v>FCLGA1700</x:v>
      </x:c>
      <x:c r="S70" s="84" t="n">
        <x:v>10</x:v>
      </x:c>
      <x:c r="T70" s="84" t="n">
        <x:v>16</x:v>
      </x:c>
      <x:c r="U70" s="80" t="str">
        <x:v>Raptor Lake</x:v>
      </x:c>
      <x:c r="V70" s="85" t="n">
        <x:v>4.6</x:v>
      </x:c>
      <x:c r="W70" s="85" t="n">
        <x:v>148</x:v>
      </x:c>
      <x:c r="X70" s="80"/>
      <x:c r="Y70" s="81" t="b">
        <x:v>0</x:v>
      </x:c>
      <x:c r="Z70" s="81" t="b">
        <x:v>0</x:v>
      </x:c>
      <x:c r="AA70" s="80" t="str">
        <x:v>high</x:v>
      </x:c>
      <x:c r="AB70" s="80"/>
      <x:c r="AC70" s="80"/>
      <x:c r="AD70" s="83" t="n">
        <x:v>44929</x:v>
      </x:c>
      <x:c r="AE70" s="80" t="str">
        <x:v>2023-01-03</x:v>
      </x:c>
      <x:c r="AF70" s="80" t="str">
        <x:v>exact</x:v>
      </x:c>
      <x:c r="AG70" s="80" t="str">
        <x:v>Core i5</x:v>
      </x:c>
      <x:c r="AH70" s="80" t="str">
        <x:v>13th Gen Core</x:v>
      </x:c>
      <x:c r="AI70" s="86" t="n">
        <x:v>6</x:v>
      </x:c>
      <x:c r="AJ70" s="86" t="n">
        <x:v>4</x:v>
      </x:c>
      <x:c r="AK70" s="86" t="n">
        <x:v>20</x:v>
      </x:c>
      <x:c r="AL70" s="86" t="n">
        <x:v>24925</x:v>
      </x:c>
      <x:c r="AM70" s="86" t="n">
        <x:v>3630</x:v>
      </x:c>
      <x:c r="AN70" s="83" t="n">
        <x:v>46218</x:v>
      </x:c>
    </x:row>
    <x:row r="71">
      <x:c r="A71" s="82" t="str">
        <x:v>intel-core-i5-13500</x:v>
      </x:c>
      <x:c r="B71" s="80" t="str">
        <x:v>Intel</x:v>
      </x:c>
      <x:c r="C71" s="80" t="str">
        <x:v>Core i5-13500</x:v>
      </x:c>
      <x:c r="D71" s="80" t="str">
        <x:v>Intel Core i5-13500</x:v>
      </x:c>
      <x:c r="E71" s="80"/>
      <x:c r="F71" s="80"/>
      <x:c r="G71" s="80"/>
      <x:c r="H71" s="80"/>
      <x:c r="I71" s="80" t="str">
        <x:v>Core i5-13500</x:v>
      </x:c>
      <x:c r="J71" s="80" t="str">
        <x:v>research_required</x:v>
      </x:c>
      <x:c r="K71" s="80" t="str">
        <x:v>unrated</x:v>
      </x:c>
      <x:c r="L71" s="83" t="n">
        <x:v>46218</x:v>
      </x:c>
      <x:c r="M71" s="14" t="str">
        <x:v>公式仕様とPassMark性能値を登録。ASIN/JAN、国内リテール品、保証条件、独立レビューは要確認。</x:v>
      </x:c>
      <x:c r="N71" s="14"/>
      <x:c r="O71" s="14"/>
      <x:c r="P71" s="14" t="str">
        <x:v>型番識別子・国内保証・販売形態を未確認</x:v>
      </x:c>
      <x:c r="Q71" s="14" t="str">
        <x:v>PassMarkスコアは2026-07-15確認時点。掲載値は更新されるため価格判定時に再確認してください。</x:v>
      </x:c>
      <x:c r="R71" s="80" t="str">
        <x:v>FCLGA1700</x:v>
      </x:c>
      <x:c r="S71" s="84" t="n">
        <x:v>14</x:v>
      </x:c>
      <x:c r="T71" s="84" t="n">
        <x:v>20</x:v>
      </x:c>
      <x:c r="U71" s="80" t="str">
        <x:v>Raptor Lake</x:v>
      </x:c>
      <x:c r="V71" s="85" t="n">
        <x:v>4.8</x:v>
      </x:c>
      <x:c r="W71" s="85" t="n">
        <x:v>65</x:v>
      </x:c>
      <x:c r="X71" s="80"/>
      <x:c r="Y71" s="81" t="b">
        <x:v>0</x:v>
      </x:c>
      <x:c r="Z71" s="81" t="b">
        <x:v>1</x:v>
      </x:c>
      <x:c r="AA71" s="80" t="str">
        <x:v>low</x:v>
      </x:c>
      <x:c r="AB71" s="80"/>
      <x:c r="AC71" s="80"/>
      <x:c r="AD71" s="83" t="n">
        <x:v>44929</x:v>
      </x:c>
      <x:c r="AE71" s="80" t="str">
        <x:v>2023-01-03</x:v>
      </x:c>
      <x:c r="AF71" s="80" t="str">
        <x:v>exact</x:v>
      </x:c>
      <x:c r="AG71" s="80" t="str">
        <x:v>Core i5</x:v>
      </x:c>
      <x:c r="AH71" s="80" t="str">
        <x:v>13th Gen Core</x:v>
      </x:c>
      <x:c r="AI71" s="86" t="n">
        <x:v>6</x:v>
      </x:c>
      <x:c r="AJ71" s="86" t="n">
        <x:v>8</x:v>
      </x:c>
      <x:c r="AK71" s="86" t="n">
        <x:v>24</x:v>
      </x:c>
      <x:c r="AL71" s="86" t="n">
        <x:v>30832</x:v>
      </x:c>
      <x:c r="AM71" s="86" t="n">
        <x:v>3857</x:v>
      </x:c>
      <x:c r="AN71" s="83" t="n">
        <x:v>46218</x:v>
      </x:c>
    </x:row>
    <x:row r="72">
      <x:c r="A72" s="82" t="str">
        <x:v>intel-core-i5-13600</x:v>
      </x:c>
      <x:c r="B72" s="80" t="str">
        <x:v>Intel</x:v>
      </x:c>
      <x:c r="C72" s="80" t="str">
        <x:v>Core i5-13600</x:v>
      </x:c>
      <x:c r="D72" s="80" t="str">
        <x:v>Intel Core i5-13600</x:v>
      </x:c>
      <x:c r="E72" s="80"/>
      <x:c r="F72" s="80"/>
      <x:c r="G72" s="80"/>
      <x:c r="H72" s="80"/>
      <x:c r="I72" s="80" t="str">
        <x:v>Core i5-13600</x:v>
      </x:c>
      <x:c r="J72" s="80" t="str">
        <x:v>research_required</x:v>
      </x:c>
      <x:c r="K72" s="80" t="str">
        <x:v>unrated</x:v>
      </x:c>
      <x:c r="L72" s="83" t="n">
        <x:v>46218</x:v>
      </x:c>
      <x:c r="M72" s="14" t="str">
        <x:v>公式仕様とPassMark性能値を登録。ASIN/JAN、国内リテール品、保証条件、独立レビューは要確認。</x:v>
      </x:c>
      <x:c r="N72" s="14"/>
      <x:c r="O72" s="14"/>
      <x:c r="P72" s="14" t="str">
        <x:v>型番識別子・国内保証・販売形態を未確認</x:v>
      </x:c>
      <x:c r="Q72" s="14" t="str">
        <x:v>PassMarkスコアは2026-07-15確認時点。掲載値は更新されるため価格判定時に再確認してください。</x:v>
      </x:c>
      <x:c r="R72" s="80" t="str">
        <x:v>FCLGA1700</x:v>
      </x:c>
      <x:c r="S72" s="84" t="n">
        <x:v>14</x:v>
      </x:c>
      <x:c r="T72" s="84" t="n">
        <x:v>20</x:v>
      </x:c>
      <x:c r="U72" s="80" t="str">
        <x:v>Raptor Lake</x:v>
      </x:c>
      <x:c r="V72" s="85" t="n">
        <x:v>5</x:v>
      </x:c>
      <x:c r="W72" s="85" t="n">
        <x:v>65</x:v>
      </x:c>
      <x:c r="X72" s="80"/>
      <x:c r="Y72" s="81" t="b">
        <x:v>0</x:v>
      </x:c>
      <x:c r="Z72" s="81" t="b">
        <x:v>1</x:v>
      </x:c>
      <x:c r="AA72" s="80" t="str">
        <x:v>low</x:v>
      </x:c>
      <x:c r="AB72" s="80"/>
      <x:c r="AC72" s="80"/>
      <x:c r="AD72" s="83" t="n">
        <x:v>44929</x:v>
      </x:c>
      <x:c r="AE72" s="80" t="str">
        <x:v>2023-01-03</x:v>
      </x:c>
      <x:c r="AF72" s="80" t="str">
        <x:v>exact</x:v>
      </x:c>
      <x:c r="AG72" s="80" t="str">
        <x:v>Core i5</x:v>
      </x:c>
      <x:c r="AH72" s="80" t="str">
        <x:v>13th Gen Core</x:v>
      </x:c>
      <x:c r="AI72" s="86" t="n">
        <x:v>6</x:v>
      </x:c>
      <x:c r="AJ72" s="86" t="n">
        <x:v>8</x:v>
      </x:c>
      <x:c r="AK72" s="86" t="n">
        <x:v>24</x:v>
      </x:c>
      <x:c r="AL72" s="86" t="n">
        <x:v>31399</x:v>
      </x:c>
      <x:c r="AM72" s="86" t="n">
        <x:v>4047</x:v>
      </x:c>
      <x:c r="AN72" s="83" t="n">
        <x:v>46218</x:v>
      </x:c>
    </x:row>
    <x:row r="73">
      <x:c r="A73" s="82" t="str">
        <x:v>intel-core-i5-13600k</x:v>
      </x:c>
      <x:c r="B73" s="80" t="str">
        <x:v>Intel</x:v>
      </x:c>
      <x:c r="C73" s="80" t="str">
        <x:v>Core i5-13600K</x:v>
      </x:c>
      <x:c r="D73" s="80" t="str">
        <x:v>Intel Core i5-13600K</x:v>
      </x:c>
      <x:c r="E73" s="80"/>
      <x:c r="F73" s="80"/>
      <x:c r="G73" s="80"/>
      <x:c r="H73" s="80"/>
      <x:c r="I73" s="80" t="str">
        <x:v>Core i5-13600K</x:v>
      </x:c>
      <x:c r="J73" s="80" t="str">
        <x:v>research_required</x:v>
      </x:c>
      <x:c r="K73" s="80" t="str">
        <x:v>unrated</x:v>
      </x:c>
      <x:c r="L73" s="83" t="n">
        <x:v>46218</x:v>
      </x:c>
      <x:c r="M73" s="14" t="str">
        <x:v>公式仕様とPassMark性能値を登録。ASIN/JAN、国内リテール品、保証条件、独立レビューは要確認。</x:v>
      </x:c>
      <x:c r="N73" s="14"/>
      <x:c r="O73" s="14"/>
      <x:c r="P73" s="14" t="str">
        <x:v>型番識別子・国内保証・販売形態を未確認</x:v>
      </x:c>
      <x:c r="Q73" s="14" t="str">
        <x:v>PassMarkスコアは2026-07-15確認時点。掲載値は更新されるため価格判定時に再確認してください。</x:v>
      </x:c>
      <x:c r="R73" s="80" t="str">
        <x:v>FCLGA1700</x:v>
      </x:c>
      <x:c r="S73" s="84" t="n">
        <x:v>14</x:v>
      </x:c>
      <x:c r="T73" s="84" t="n">
        <x:v>20</x:v>
      </x:c>
      <x:c r="U73" s="80" t="str">
        <x:v>Raptor Lake</x:v>
      </x:c>
      <x:c r="V73" s="85" t="n">
        <x:v>5.1</x:v>
      </x:c>
      <x:c r="W73" s="85" t="n">
        <x:v>125</x:v>
      </x:c>
      <x:c r="X73" s="80"/>
      <x:c r="Y73" s="81" t="b">
        <x:v>0</x:v>
      </x:c>
      <x:c r="Z73" s="81" t="b">
        <x:v>1</x:v>
      </x:c>
      <x:c r="AA73" s="80" t="str">
        <x:v>high</x:v>
      </x:c>
      <x:c r="AB73" s="80"/>
      <x:c r="AC73" s="80"/>
      <x:c r="AD73" s="83" t="n">
        <x:v>44854</x:v>
      </x:c>
      <x:c r="AE73" s="80" t="str">
        <x:v>2022-10-20</x:v>
      </x:c>
      <x:c r="AF73" s="80" t="str">
        <x:v>exact</x:v>
      </x:c>
      <x:c r="AG73" s="80" t="str">
        <x:v>Core i5</x:v>
      </x:c>
      <x:c r="AH73" s="80" t="str">
        <x:v>13th Gen Core</x:v>
      </x:c>
      <x:c r="AI73" s="86" t="n">
        <x:v>6</x:v>
      </x:c>
      <x:c r="AJ73" s="86" t="n">
        <x:v>8</x:v>
      </x:c>
      <x:c r="AK73" s="86" t="n">
        <x:v>24</x:v>
      </x:c>
      <x:c r="AL73" s="86" t="n">
        <x:v>37481</x:v>
      </x:c>
      <x:c r="AM73" s="86" t="n">
        <x:v>4113</x:v>
      </x:c>
      <x:c r="AN73" s="83" t="n">
        <x:v>46218</x:v>
      </x:c>
    </x:row>
    <x:row r="74">
      <x:c r="A74" s="82" t="str">
        <x:v>intel-core-i5-13600kf</x:v>
      </x:c>
      <x:c r="B74" s="80" t="str">
        <x:v>Intel</x:v>
      </x:c>
      <x:c r="C74" s="80" t="str">
        <x:v>Core i5-13600KF</x:v>
      </x:c>
      <x:c r="D74" s="80" t="str">
        <x:v>Intel Core i5-13600KF</x:v>
      </x:c>
      <x:c r="E74" s="80"/>
      <x:c r="F74" s="80"/>
      <x:c r="G74" s="80"/>
      <x:c r="H74" s="80"/>
      <x:c r="I74" s="80" t="str">
        <x:v>Core i5-13600KF</x:v>
      </x:c>
      <x:c r="J74" s="80" t="str">
        <x:v>research_required</x:v>
      </x:c>
      <x:c r="K74" s="80" t="str">
        <x:v>unrated</x:v>
      </x:c>
      <x:c r="L74" s="83" t="n">
        <x:v>46218</x:v>
      </x:c>
      <x:c r="M74" s="14" t="str">
        <x:v>公式仕様とPassMark性能値を登録。ASIN/JAN、国内リテール品、保証条件、独立レビューは要確認。</x:v>
      </x:c>
      <x:c r="N74" s="14"/>
      <x:c r="O74" s="14"/>
      <x:c r="P74" s="14" t="str">
        <x:v>型番識別子・国内保証・販売形態を未確認</x:v>
      </x:c>
      <x:c r="Q74" s="14" t="str">
        <x:v>PassMarkスコアは2026-07-15確認時点。掲載値は更新されるため価格判定時に再確認してください。</x:v>
      </x:c>
      <x:c r="R74" s="80" t="str">
        <x:v>FCLGA1700</x:v>
      </x:c>
      <x:c r="S74" s="84" t="n">
        <x:v>14</x:v>
      </x:c>
      <x:c r="T74" s="84" t="n">
        <x:v>20</x:v>
      </x:c>
      <x:c r="U74" s="80" t="str">
        <x:v>Raptor Lake</x:v>
      </x:c>
      <x:c r="V74" s="85" t="n">
        <x:v>5.1</x:v>
      </x:c>
      <x:c r="W74" s="85" t="n">
        <x:v>125</x:v>
      </x:c>
      <x:c r="X74" s="80"/>
      <x:c r="Y74" s="81" t="b">
        <x:v>0</x:v>
      </x:c>
      <x:c r="Z74" s="81" t="b">
        <x:v>0</x:v>
      </x:c>
      <x:c r="AA74" s="80" t="str">
        <x:v>high</x:v>
      </x:c>
      <x:c r="AB74" s="80"/>
      <x:c r="AC74" s="80"/>
      <x:c r="AD74" s="83" t="n">
        <x:v>44854</x:v>
      </x:c>
      <x:c r="AE74" s="80" t="str">
        <x:v>2022-10-20</x:v>
      </x:c>
      <x:c r="AF74" s="80" t="str">
        <x:v>exact</x:v>
      </x:c>
      <x:c r="AG74" s="80" t="str">
        <x:v>Core i5</x:v>
      </x:c>
      <x:c r="AH74" s="80" t="str">
        <x:v>13th Gen Core</x:v>
      </x:c>
      <x:c r="AI74" s="86" t="n">
        <x:v>6</x:v>
      </x:c>
      <x:c r="AJ74" s="86" t="n">
        <x:v>8</x:v>
      </x:c>
      <x:c r="AK74" s="86" t="n">
        <x:v>24</x:v>
      </x:c>
      <x:c r="AL74" s="86" t="n">
        <x:v>37355</x:v>
      </x:c>
      <x:c r="AM74" s="86" t="n">
        <x:v>4113</x:v>
      </x:c>
      <x:c r="AN74" s="83" t="n">
        <x:v>46218</x:v>
      </x:c>
    </x:row>
    <x:row r="75">
      <x:c r="A75" s="82" t="str">
        <x:v>intel-core-i7-13700</x:v>
      </x:c>
      <x:c r="B75" s="80" t="str">
        <x:v>Intel</x:v>
      </x:c>
      <x:c r="C75" s="80" t="str">
        <x:v>Core i7-13700</x:v>
      </x:c>
      <x:c r="D75" s="80" t="str">
        <x:v>Intel Core i7-13700</x:v>
      </x:c>
      <x:c r="E75" s="80"/>
      <x:c r="F75" s="80"/>
      <x:c r="G75" s="80"/>
      <x:c r="H75" s="80"/>
      <x:c r="I75" s="80" t="str">
        <x:v>Core i7-13700</x:v>
      </x:c>
      <x:c r="J75" s="80" t="str">
        <x:v>research_required</x:v>
      </x:c>
      <x:c r="K75" s="80" t="str">
        <x:v>unrated</x:v>
      </x:c>
      <x:c r="L75" s="83" t="n">
        <x:v>46218</x:v>
      </x:c>
      <x:c r="M75" s="14" t="str">
        <x:v>公式仕様とPassMark性能値を登録。ASIN/JAN、国内リテール品、保証条件、独立レビューは要確認。</x:v>
      </x:c>
      <x:c r="N75" s="14"/>
      <x:c r="O75" s="14"/>
      <x:c r="P75" s="14" t="str">
        <x:v>型番識別子・国内保証・販売形態を未確認</x:v>
      </x:c>
      <x:c r="Q75" s="14" t="str">
        <x:v>PassMarkスコアは2026-07-15確認時点。掲載値は更新されるため価格判定時に再確認してください。</x:v>
      </x:c>
      <x:c r="R75" s="80" t="str">
        <x:v>FCLGA1700</x:v>
      </x:c>
      <x:c r="S75" s="84" t="n">
        <x:v>16</x:v>
      </x:c>
      <x:c r="T75" s="84" t="n">
        <x:v>24</x:v>
      </x:c>
      <x:c r="U75" s="80" t="str">
        <x:v>Raptor Lake</x:v>
      </x:c>
      <x:c r="V75" s="85" t="n">
        <x:v>5.2</x:v>
      </x:c>
      <x:c r="W75" s="85" t="n">
        <x:v>65</x:v>
      </x:c>
      <x:c r="X75" s="80"/>
      <x:c r="Y75" s="81" t="b">
        <x:v>0</x:v>
      </x:c>
      <x:c r="Z75" s="81" t="b">
        <x:v>1</x:v>
      </x:c>
      <x:c r="AA75" s="80" t="str">
        <x:v>low</x:v>
      </x:c>
      <x:c r="AB75" s="80"/>
      <x:c r="AC75" s="80"/>
      <x:c r="AD75" s="83" t="n">
        <x:v>44929</x:v>
      </x:c>
      <x:c r="AE75" s="80" t="str">
        <x:v>2023-01-03</x:v>
      </x:c>
      <x:c r="AF75" s="80" t="str">
        <x:v>exact</x:v>
      </x:c>
      <x:c r="AG75" s="80" t="str">
        <x:v>Core i7</x:v>
      </x:c>
      <x:c r="AH75" s="80" t="str">
        <x:v>13th Gen Core</x:v>
      </x:c>
      <x:c r="AI75" s="86" t="n">
        <x:v>8</x:v>
      </x:c>
      <x:c r="AJ75" s="86" t="n">
        <x:v>8</x:v>
      </x:c>
      <x:c r="AK75" s="86" t="n">
        <x:v>30</x:v>
      </x:c>
      <x:c r="AL75" s="86" t="n">
        <x:v>35944</x:v>
      </x:c>
      <x:c r="AM75" s="86" t="n">
        <x:v>4096</x:v>
      </x:c>
      <x:c r="AN75" s="83" t="n">
        <x:v>46218</x:v>
      </x:c>
    </x:row>
    <x:row r="76">
      <x:c r="A76" s="82" t="str">
        <x:v>intel-core-i7-13700f</x:v>
      </x:c>
      <x:c r="B76" s="80" t="str">
        <x:v>Intel</x:v>
      </x:c>
      <x:c r="C76" s="80" t="str">
        <x:v>Core i7-13700F</x:v>
      </x:c>
      <x:c r="D76" s="80" t="str">
        <x:v>Intel Core i7-13700F</x:v>
      </x:c>
      <x:c r="E76" s="80"/>
      <x:c r="F76" s="80"/>
      <x:c r="G76" s="80"/>
      <x:c r="H76" s="80"/>
      <x:c r="I76" s="80" t="str">
        <x:v>Core i7-13700F</x:v>
      </x:c>
      <x:c r="J76" s="80" t="str">
        <x:v>research_required</x:v>
      </x:c>
      <x:c r="K76" s="80" t="str">
        <x:v>unrated</x:v>
      </x:c>
      <x:c r="L76" s="83" t="n">
        <x:v>46218</x:v>
      </x:c>
      <x:c r="M76" s="14" t="str">
        <x:v>公式仕様とPassMark性能値を登録。ASIN/JAN、国内リテール品、保証条件、独立レビューは要確認。</x:v>
      </x:c>
      <x:c r="N76" s="14"/>
      <x:c r="O76" s="14"/>
      <x:c r="P76" s="14" t="str">
        <x:v>型番識別子・国内保証・販売形態を未確認</x:v>
      </x:c>
      <x:c r="Q76" s="14" t="str">
        <x:v>PassMarkスコアは2026-07-15確認時点。掲載値は更新されるため価格判定時に再確認してください。</x:v>
      </x:c>
      <x:c r="R76" s="80" t="str">
        <x:v>FCLGA1700</x:v>
      </x:c>
      <x:c r="S76" s="84" t="n">
        <x:v>16</x:v>
      </x:c>
      <x:c r="T76" s="84" t="n">
        <x:v>24</x:v>
      </x:c>
      <x:c r="U76" s="80" t="str">
        <x:v>Raptor Lake</x:v>
      </x:c>
      <x:c r="V76" s="85" t="n">
        <x:v>5.2</x:v>
      </x:c>
      <x:c r="W76" s="85" t="n">
        <x:v>65</x:v>
      </x:c>
      <x:c r="X76" s="80"/>
      <x:c r="Y76" s="81" t="b">
        <x:v>0</x:v>
      </x:c>
      <x:c r="Z76" s="81" t="b">
        <x:v>0</x:v>
      </x:c>
      <x:c r="AA76" s="80" t="str">
        <x:v>low</x:v>
      </x:c>
      <x:c r="AB76" s="80"/>
      <x:c r="AC76" s="80"/>
      <x:c r="AD76" s="83" t="n">
        <x:v>44929</x:v>
      </x:c>
      <x:c r="AE76" s="80" t="str">
        <x:v>2023-01-03</x:v>
      </x:c>
      <x:c r="AF76" s="80" t="str">
        <x:v>exact</x:v>
      </x:c>
      <x:c r="AG76" s="80" t="str">
        <x:v>Core i7</x:v>
      </x:c>
      <x:c r="AH76" s="80" t="str">
        <x:v>13th Gen Core</x:v>
      </x:c>
      <x:c r="AI76" s="86" t="n">
        <x:v>8</x:v>
      </x:c>
      <x:c r="AJ76" s="86" t="n">
        <x:v>8</x:v>
      </x:c>
      <x:c r="AK76" s="86" t="n">
        <x:v>30</x:v>
      </x:c>
      <x:c r="AL76" s="86" t="n">
        <x:v>37823</x:v>
      </x:c>
      <x:c r="AM76" s="86" t="n">
        <x:v>4115</x:v>
      </x:c>
      <x:c r="AN76" s="83" t="n">
        <x:v>46218</x:v>
      </x:c>
    </x:row>
    <x:row r="77">
      <x:c r="A77" s="82" t="str">
        <x:v>intel-core-i7-13700k</x:v>
      </x:c>
      <x:c r="B77" s="80" t="str">
        <x:v>Intel</x:v>
      </x:c>
      <x:c r="C77" s="80" t="str">
        <x:v>Core i7-13700K</x:v>
      </x:c>
      <x:c r="D77" s="80" t="str">
        <x:v>Intel Core i7-13700K</x:v>
      </x:c>
      <x:c r="E77" s="80"/>
      <x:c r="F77" s="80"/>
      <x:c r="G77" s="80"/>
      <x:c r="H77" s="80"/>
      <x:c r="I77" s="80" t="str">
        <x:v>Core i7-13700K</x:v>
      </x:c>
      <x:c r="J77" s="80" t="str">
        <x:v>research_required</x:v>
      </x:c>
      <x:c r="K77" s="80" t="str">
        <x:v>unrated</x:v>
      </x:c>
      <x:c r="L77" s="83" t="n">
        <x:v>46218</x:v>
      </x:c>
      <x:c r="M77" s="14" t="str">
        <x:v>公式仕様とPassMark性能値を登録。ASIN/JAN、国内リテール品、保証条件、独立レビューは要確認。</x:v>
      </x:c>
      <x:c r="N77" s="14"/>
      <x:c r="O77" s="14"/>
      <x:c r="P77" s="14" t="str">
        <x:v>型番識別子・国内保証・販売形態を未確認</x:v>
      </x:c>
      <x:c r="Q77" s="14" t="str">
        <x:v>PassMarkスコアは2026-07-15確認時点。掲載値は更新されるため価格判定時に再確認してください。</x:v>
      </x:c>
      <x:c r="R77" s="80" t="str">
        <x:v>FCLGA1700</x:v>
      </x:c>
      <x:c r="S77" s="84" t="n">
        <x:v>16</x:v>
      </x:c>
      <x:c r="T77" s="84" t="n">
        <x:v>24</x:v>
      </x:c>
      <x:c r="U77" s="80" t="str">
        <x:v>Raptor Lake</x:v>
      </x:c>
      <x:c r="V77" s="85" t="n">
        <x:v>5.4</x:v>
      </x:c>
      <x:c r="W77" s="85" t="n">
        <x:v>125</x:v>
      </x:c>
      <x:c r="X77" s="80"/>
      <x:c r="Y77" s="81" t="b">
        <x:v>0</x:v>
      </x:c>
      <x:c r="Z77" s="81" t="b">
        <x:v>1</x:v>
      </x:c>
      <x:c r="AA77" s="80" t="str">
        <x:v>high</x:v>
      </x:c>
      <x:c r="AB77" s="80"/>
      <x:c r="AC77" s="80"/>
      <x:c r="AD77" s="83" t="n">
        <x:v>44854</x:v>
      </x:c>
      <x:c r="AE77" s="80" t="str">
        <x:v>2022-10-20</x:v>
      </x:c>
      <x:c r="AF77" s="80" t="str">
        <x:v>exact</x:v>
      </x:c>
      <x:c r="AG77" s="80" t="str">
        <x:v>Core i7</x:v>
      </x:c>
      <x:c r="AH77" s="80" t="str">
        <x:v>13th Gen Core</x:v>
      </x:c>
      <x:c r="AI77" s="86" t="n">
        <x:v>8</x:v>
      </x:c>
      <x:c r="AJ77" s="86" t="n">
        <x:v>8</x:v>
      </x:c>
      <x:c r="AK77" s="86" t="n">
        <x:v>30</x:v>
      </x:c>
      <x:c r="AL77" s="86" t="n">
        <x:v>45657</x:v>
      </x:c>
      <x:c r="AM77" s="86" t="n">
        <x:v>4327</x:v>
      </x:c>
      <x:c r="AN77" s="83" t="n">
        <x:v>46218</x:v>
      </x:c>
    </x:row>
    <x:row r="78">
      <x:c r="A78" s="82" t="str">
        <x:v>intel-core-i7-13700kf</x:v>
      </x:c>
      <x:c r="B78" s="80" t="str">
        <x:v>Intel</x:v>
      </x:c>
      <x:c r="C78" s="80" t="str">
        <x:v>Core i7-13700KF</x:v>
      </x:c>
      <x:c r="D78" s="80" t="str">
        <x:v>Intel Core i7-13700KF</x:v>
      </x:c>
      <x:c r="E78" s="80"/>
      <x:c r="F78" s="80"/>
      <x:c r="G78" s="80"/>
      <x:c r="H78" s="80"/>
      <x:c r="I78" s="80" t="str">
        <x:v>Core i7-13700KF</x:v>
      </x:c>
      <x:c r="J78" s="80" t="str">
        <x:v>research_required</x:v>
      </x:c>
      <x:c r="K78" s="80" t="str">
        <x:v>unrated</x:v>
      </x:c>
      <x:c r="L78" s="83" t="n">
        <x:v>46218</x:v>
      </x:c>
      <x:c r="M78" s="14" t="str">
        <x:v>公式仕様とPassMark性能値を登録。ASIN/JAN、国内リテール品、保証条件、独立レビューは要確認。</x:v>
      </x:c>
      <x:c r="N78" s="14"/>
      <x:c r="O78" s="14"/>
      <x:c r="P78" s="14" t="str">
        <x:v>型番識別子・国内保証・販売形態を未確認</x:v>
      </x:c>
      <x:c r="Q78" s="14" t="str">
        <x:v>PassMarkスコアは2026-07-15確認時点。掲載値は更新されるため価格判定時に再確認してください。</x:v>
      </x:c>
      <x:c r="R78" s="80" t="str">
        <x:v>FCLGA1700</x:v>
      </x:c>
      <x:c r="S78" s="84" t="n">
        <x:v>16</x:v>
      </x:c>
      <x:c r="T78" s="84" t="n">
        <x:v>24</x:v>
      </x:c>
      <x:c r="U78" s="80" t="str">
        <x:v>Raptor Lake</x:v>
      </x:c>
      <x:c r="V78" s="85" t="n">
        <x:v>5.4</x:v>
      </x:c>
      <x:c r="W78" s="85" t="n">
        <x:v>125</x:v>
      </x:c>
      <x:c r="X78" s="80"/>
      <x:c r="Y78" s="81" t="b">
        <x:v>0</x:v>
      </x:c>
      <x:c r="Z78" s="81" t="b">
        <x:v>0</x:v>
      </x:c>
      <x:c r="AA78" s="80" t="str">
        <x:v>high</x:v>
      </x:c>
      <x:c r="AB78" s="80"/>
      <x:c r="AC78" s="80"/>
      <x:c r="AD78" s="83" t="n">
        <x:v>44854</x:v>
      </x:c>
      <x:c r="AE78" s="80" t="str">
        <x:v>2022-10-20</x:v>
      </x:c>
      <x:c r="AF78" s="80" t="str">
        <x:v>exact</x:v>
      </x:c>
      <x:c r="AG78" s="80" t="str">
        <x:v>Core i7</x:v>
      </x:c>
      <x:c r="AH78" s="80" t="str">
        <x:v>13th Gen Core</x:v>
      </x:c>
      <x:c r="AI78" s="86" t="n">
        <x:v>8</x:v>
      </x:c>
      <x:c r="AJ78" s="86" t="n">
        <x:v>8</x:v>
      </x:c>
      <x:c r="AK78" s="86" t="n">
        <x:v>30</x:v>
      </x:c>
      <x:c r="AL78" s="86" t="n">
        <x:v>45555</x:v>
      </x:c>
      <x:c r="AM78" s="86" t="n">
        <x:v>4330</x:v>
      </x:c>
      <x:c r="AN78" s="83" t="n">
        <x:v>46218</x:v>
      </x:c>
    </x:row>
    <x:row r="79">
      <x:c r="A79" s="82" t="str">
        <x:v>intel-core-i9-13900</x:v>
      </x:c>
      <x:c r="B79" s="80" t="str">
        <x:v>Intel</x:v>
      </x:c>
      <x:c r="C79" s="80" t="str">
        <x:v>Core i9-13900</x:v>
      </x:c>
      <x:c r="D79" s="80" t="str">
        <x:v>Intel Core i9-13900</x:v>
      </x:c>
      <x:c r="E79" s="80"/>
      <x:c r="F79" s="80"/>
      <x:c r="G79" s="80"/>
      <x:c r="H79" s="80"/>
      <x:c r="I79" s="80" t="str">
        <x:v>Core i9-13900</x:v>
      </x:c>
      <x:c r="J79" s="80" t="str">
        <x:v>research_required</x:v>
      </x:c>
      <x:c r="K79" s="80" t="str">
        <x:v>unrated</x:v>
      </x:c>
      <x:c r="L79" s="83" t="n">
        <x:v>46218</x:v>
      </x:c>
      <x:c r="M79" s="14" t="str">
        <x:v>公式仕様とPassMark性能値を登録。ASIN/JAN、国内リテール品、保証条件、独立レビューは要確認。</x:v>
      </x:c>
      <x:c r="N79" s="14"/>
      <x:c r="O79" s="14"/>
      <x:c r="P79" s="14" t="str">
        <x:v>型番識別子・国内保証・販売形態を未確認</x:v>
      </x:c>
      <x:c r="Q79" s="14" t="str">
        <x:v>PassMarkスコアは2026-07-15確認時点。掲載値は更新されるため価格判定時に再確認してください。</x:v>
      </x:c>
      <x:c r="R79" s="80" t="str">
        <x:v>FCLGA1700</x:v>
      </x:c>
      <x:c r="S79" s="84" t="n">
        <x:v>24</x:v>
      </x:c>
      <x:c r="T79" s="84" t="n">
        <x:v>32</x:v>
      </x:c>
      <x:c r="U79" s="80" t="str">
        <x:v>Raptor Lake</x:v>
      </x:c>
      <x:c r="V79" s="85" t="n">
        <x:v>5.6</x:v>
      </x:c>
      <x:c r="W79" s="85" t="n">
        <x:v>65</x:v>
      </x:c>
      <x:c r="X79" s="80"/>
      <x:c r="Y79" s="81" t="b">
        <x:v>0</x:v>
      </x:c>
      <x:c r="Z79" s="81" t="b">
        <x:v>1</x:v>
      </x:c>
      <x:c r="AA79" s="80" t="str">
        <x:v>low</x:v>
      </x:c>
      <x:c r="AB79" s="80"/>
      <x:c r="AC79" s="80"/>
      <x:c r="AD79" s="83" t="n">
        <x:v>44929</x:v>
      </x:c>
      <x:c r="AE79" s="80" t="str">
        <x:v>2023-01-03</x:v>
      </x:c>
      <x:c r="AF79" s="80" t="str">
        <x:v>exact</x:v>
      </x:c>
      <x:c r="AG79" s="80" t="str">
        <x:v>Core i9</x:v>
      </x:c>
      <x:c r="AH79" s="80" t="str">
        <x:v>13th Gen Core</x:v>
      </x:c>
      <x:c r="AI79" s="86" t="n">
        <x:v>8</x:v>
      </x:c>
      <x:c r="AJ79" s="86" t="n">
        <x:v>16</x:v>
      </x:c>
      <x:c r="AK79" s="86" t="n">
        <x:v>36</x:v>
      </x:c>
      <x:c r="AL79" s="86" t="n">
        <x:v>44733</x:v>
      </x:c>
      <x:c r="AM79" s="86" t="n">
        <x:v>4289</x:v>
      </x:c>
      <x:c r="AN79" s="83" t="n">
        <x:v>46218</x:v>
      </x:c>
    </x:row>
    <x:row r="80">
      <x:c r="A80" s="82" t="str">
        <x:v>intel-core-i9-13900f</x:v>
      </x:c>
      <x:c r="B80" s="80" t="str">
        <x:v>Intel</x:v>
      </x:c>
      <x:c r="C80" s="80" t="str">
        <x:v>Core i9-13900F</x:v>
      </x:c>
      <x:c r="D80" s="80" t="str">
        <x:v>Intel Core i9-13900F</x:v>
      </x:c>
      <x:c r="E80" s="80"/>
      <x:c r="F80" s="80"/>
      <x:c r="G80" s="80"/>
      <x:c r="H80" s="80"/>
      <x:c r="I80" s="80" t="str">
        <x:v>Core i9-13900F</x:v>
      </x:c>
      <x:c r="J80" s="80" t="str">
        <x:v>research_required</x:v>
      </x:c>
      <x:c r="K80" s="80" t="str">
        <x:v>unrated</x:v>
      </x:c>
      <x:c r="L80" s="83" t="n">
        <x:v>46218</x:v>
      </x:c>
      <x:c r="M80" s="14" t="str">
        <x:v>公式仕様とPassMark性能値を登録。ASIN/JAN、国内リテール品、保証条件、独立レビューは要確認。</x:v>
      </x:c>
      <x:c r="N80" s="14"/>
      <x:c r="O80" s="14"/>
      <x:c r="P80" s="14" t="str">
        <x:v>型番識別子・国内保証・販売形態を未確認</x:v>
      </x:c>
      <x:c r="Q80" s="14" t="str">
        <x:v>PassMarkスコアは2026-07-15確認時点。掲載値は更新されるため価格判定時に再確認してください。</x:v>
      </x:c>
      <x:c r="R80" s="80" t="str">
        <x:v>FCLGA1700</x:v>
      </x:c>
      <x:c r="S80" s="84" t="n">
        <x:v>24</x:v>
      </x:c>
      <x:c r="T80" s="84" t="n">
        <x:v>32</x:v>
      </x:c>
      <x:c r="U80" s="80" t="str">
        <x:v>Raptor Lake</x:v>
      </x:c>
      <x:c r="V80" s="85" t="n">
        <x:v>5.6</x:v>
      </x:c>
      <x:c r="W80" s="85" t="n">
        <x:v>65</x:v>
      </x:c>
      <x:c r="X80" s="80"/>
      <x:c r="Y80" s="81" t="b">
        <x:v>0</x:v>
      </x:c>
      <x:c r="Z80" s="81" t="b">
        <x:v>0</x:v>
      </x:c>
      <x:c r="AA80" s="80" t="str">
        <x:v>low</x:v>
      </x:c>
      <x:c r="AB80" s="80"/>
      <x:c r="AC80" s="80"/>
      <x:c r="AD80" s="83" t="n">
        <x:v>44929</x:v>
      </x:c>
      <x:c r="AE80" s="80" t="str">
        <x:v>2023-01-03</x:v>
      </x:c>
      <x:c r="AF80" s="80" t="str">
        <x:v>exact</x:v>
      </x:c>
      <x:c r="AG80" s="80" t="str">
        <x:v>Core i9</x:v>
      </x:c>
      <x:c r="AH80" s="80" t="str">
        <x:v>13th Gen Core</x:v>
      </x:c>
      <x:c r="AI80" s="86" t="n">
        <x:v>8</x:v>
      </x:c>
      <x:c r="AJ80" s="86" t="n">
        <x:v>16</x:v>
      </x:c>
      <x:c r="AK80" s="86" t="n">
        <x:v>36</x:v>
      </x:c>
      <x:c r="AL80" s="86" t="n">
        <x:v>48229</x:v>
      </x:c>
      <x:c r="AM80" s="86" t="n">
        <x:v>4396</x:v>
      </x:c>
      <x:c r="AN80" s="83" t="n">
        <x:v>46218</x:v>
      </x:c>
    </x:row>
    <x:row r="81">
      <x:c r="A81" s="82" t="str">
        <x:v>intel-core-i9-13900k</x:v>
      </x:c>
      <x:c r="B81" s="80" t="str">
        <x:v>Intel</x:v>
      </x:c>
      <x:c r="C81" s="80" t="str">
        <x:v>Core i9-13900K</x:v>
      </x:c>
      <x:c r="D81" s="80" t="str">
        <x:v>Intel Core i9-13900K</x:v>
      </x:c>
      <x:c r="E81" s="80"/>
      <x:c r="F81" s="80"/>
      <x:c r="G81" s="80"/>
      <x:c r="H81" s="80"/>
      <x:c r="I81" s="80" t="str">
        <x:v>Core i9-13900K</x:v>
      </x:c>
      <x:c r="J81" s="80" t="str">
        <x:v>research_required</x:v>
      </x:c>
      <x:c r="K81" s="80" t="str">
        <x:v>unrated</x:v>
      </x:c>
      <x:c r="L81" s="83" t="n">
        <x:v>46218</x:v>
      </x:c>
      <x:c r="M81" s="14" t="str">
        <x:v>公式仕様とPassMark性能値を登録。ASIN/JAN、国内リテール品、保証条件、独立レビューは要確認。</x:v>
      </x:c>
      <x:c r="N81" s="14"/>
      <x:c r="O81" s="14"/>
      <x:c r="P81" s="14" t="str">
        <x:v>型番識別子・国内保証・販売形態を未確認</x:v>
      </x:c>
      <x:c r="Q81" s="14" t="str">
        <x:v>PassMarkスコアは2026-07-15確認時点。掲載値は更新されるため価格判定時に再確認してください。</x:v>
      </x:c>
      <x:c r="R81" s="80" t="str">
        <x:v>FCLGA1700</x:v>
      </x:c>
      <x:c r="S81" s="84" t="n">
        <x:v>24</x:v>
      </x:c>
      <x:c r="T81" s="84" t="n">
        <x:v>32</x:v>
      </x:c>
      <x:c r="U81" s="80" t="str">
        <x:v>Raptor Lake</x:v>
      </x:c>
      <x:c r="V81" s="85" t="n">
        <x:v>5.8</x:v>
      </x:c>
      <x:c r="W81" s="85" t="n">
        <x:v>125</x:v>
      </x:c>
      <x:c r="X81" s="80"/>
      <x:c r="Y81" s="81" t="b">
        <x:v>0</x:v>
      </x:c>
      <x:c r="Z81" s="81" t="b">
        <x:v>1</x:v>
      </x:c>
      <x:c r="AA81" s="80" t="str">
        <x:v>high</x:v>
      </x:c>
      <x:c r="AB81" s="80"/>
      <x:c r="AC81" s="80"/>
      <x:c r="AD81" s="83" t="n">
        <x:v>44854</x:v>
      </x:c>
      <x:c r="AE81" s="80" t="str">
        <x:v>2022-10-20</x:v>
      </x:c>
      <x:c r="AF81" s="80" t="str">
        <x:v>exact</x:v>
      </x:c>
      <x:c r="AG81" s="80" t="str">
        <x:v>Core i9</x:v>
      </x:c>
      <x:c r="AH81" s="80" t="str">
        <x:v>13th Gen Core</x:v>
      </x:c>
      <x:c r="AI81" s="86" t="n">
        <x:v>8</x:v>
      </x:c>
      <x:c r="AJ81" s="86" t="n">
        <x:v>16</x:v>
      </x:c>
      <x:c r="AK81" s="86" t="n">
        <x:v>36</x:v>
      </x:c>
      <x:c r="AL81" s="86" t="n">
        <x:v>58133</x:v>
      </x:c>
      <x:c r="AM81" s="86" t="n">
        <x:v>4597</x:v>
      </x:c>
      <x:c r="AN81" s="83" t="n">
        <x:v>46218</x:v>
      </x:c>
    </x:row>
    <x:row r="82">
      <x:c r="A82" s="82" t="str">
        <x:v>intel-core-i9-13900kf</x:v>
      </x:c>
      <x:c r="B82" s="80" t="str">
        <x:v>Intel</x:v>
      </x:c>
      <x:c r="C82" s="80" t="str">
        <x:v>Core i9-13900KF</x:v>
      </x:c>
      <x:c r="D82" s="80" t="str">
        <x:v>Intel Core i9-13900KF</x:v>
      </x:c>
      <x:c r="E82" s="80"/>
      <x:c r="F82" s="80"/>
      <x:c r="G82" s="80"/>
      <x:c r="H82" s="80"/>
      <x:c r="I82" s="80" t="str">
        <x:v>Core i9-13900KF</x:v>
      </x:c>
      <x:c r="J82" s="80" t="str">
        <x:v>research_required</x:v>
      </x:c>
      <x:c r="K82" s="80" t="str">
        <x:v>unrated</x:v>
      </x:c>
      <x:c r="L82" s="83" t="n">
        <x:v>46218</x:v>
      </x:c>
      <x:c r="M82" s="14" t="str">
        <x:v>公式仕様とPassMark性能値を登録。ASIN/JAN、国内リテール品、保証条件、独立レビューは要確認。</x:v>
      </x:c>
      <x:c r="N82" s="14"/>
      <x:c r="O82" s="14"/>
      <x:c r="P82" s="14" t="str">
        <x:v>型番識別子・国内保証・販売形態を未確認</x:v>
      </x:c>
      <x:c r="Q82" s="14" t="str">
        <x:v>PassMarkスコアは2026-07-15確認時点。掲載値は更新されるため価格判定時に再確認してください。</x:v>
      </x:c>
      <x:c r="R82" s="80" t="str">
        <x:v>FCLGA1700</x:v>
      </x:c>
      <x:c r="S82" s="84" t="n">
        <x:v>24</x:v>
      </x:c>
      <x:c r="T82" s="84" t="n">
        <x:v>32</x:v>
      </x:c>
      <x:c r="U82" s="80" t="str">
        <x:v>Raptor Lake</x:v>
      </x:c>
      <x:c r="V82" s="85" t="n">
        <x:v>5.8</x:v>
      </x:c>
      <x:c r="W82" s="85" t="n">
        <x:v>125</x:v>
      </x:c>
      <x:c r="X82" s="80"/>
      <x:c r="Y82" s="81" t="b">
        <x:v>0</x:v>
      </x:c>
      <x:c r="Z82" s="81" t="b">
        <x:v>0</x:v>
      </x:c>
      <x:c r="AA82" s="80" t="str">
        <x:v>high</x:v>
      </x:c>
      <x:c r="AB82" s="80"/>
      <x:c r="AC82" s="80"/>
      <x:c r="AD82" s="83" t="n">
        <x:v>44854</x:v>
      </x:c>
      <x:c r="AE82" s="80" t="str">
        <x:v>2022-10-20</x:v>
      </x:c>
      <x:c r="AF82" s="80" t="str">
        <x:v>exact</x:v>
      </x:c>
      <x:c r="AG82" s="80" t="str">
        <x:v>Core i9</x:v>
      </x:c>
      <x:c r="AH82" s="80" t="str">
        <x:v>13th Gen Core</x:v>
      </x:c>
      <x:c r="AI82" s="86" t="n">
        <x:v>8</x:v>
      </x:c>
      <x:c r="AJ82" s="86" t="n">
        <x:v>16</x:v>
      </x:c>
      <x:c r="AK82" s="86" t="n">
        <x:v>36</x:v>
      </x:c>
      <x:c r="AL82" s="86" t="n">
        <x:v>57498</x:v>
      </x:c>
      <x:c r="AM82" s="86" t="n">
        <x:v>4581</x:v>
      </x:c>
      <x:c r="AN82" s="83" t="n">
        <x:v>46218</x:v>
      </x:c>
    </x:row>
    <x:row r="83">
      <x:c r="A83" s="82" t="str">
        <x:v>intel-core-i9-13900ks</x:v>
      </x:c>
      <x:c r="B83" s="80" t="str">
        <x:v>Intel</x:v>
      </x:c>
      <x:c r="C83" s="80" t="str">
        <x:v>Core i9-13900KS</x:v>
      </x:c>
      <x:c r="D83" s="80" t="str">
        <x:v>Intel Core i9-13900KS</x:v>
      </x:c>
      <x:c r="E83" s="80"/>
      <x:c r="F83" s="80"/>
      <x:c r="G83" s="80"/>
      <x:c r="H83" s="80"/>
      <x:c r="I83" s="80" t="str">
        <x:v>Core i9-13900KS</x:v>
      </x:c>
      <x:c r="J83" s="80" t="str">
        <x:v>research_required</x:v>
      </x:c>
      <x:c r="K83" s="80" t="str">
        <x:v>unrated</x:v>
      </x:c>
      <x:c r="L83" s="83" t="n">
        <x:v>46218</x:v>
      </x:c>
      <x:c r="M83" s="14" t="str">
        <x:v>公式仕様とPassMark性能値を登録。ASIN/JAN、国内リテール品、保証条件、独立レビューは要確認。</x:v>
      </x:c>
      <x:c r="N83" s="14"/>
      <x:c r="O83" s="14"/>
      <x:c r="P83" s="14" t="str">
        <x:v>型番識別子・国内保証・販売形態を未確認</x:v>
      </x:c>
      <x:c r="Q83" s="14" t="str">
        <x:v>PassMarkスコアは2026-07-15確認時点。掲載値は更新されるため価格判定時に再確認してください。</x:v>
      </x:c>
      <x:c r="R83" s="80" t="str">
        <x:v>FCLGA1700</x:v>
      </x:c>
      <x:c r="S83" s="84" t="n">
        <x:v>24</x:v>
      </x:c>
      <x:c r="T83" s="84" t="n">
        <x:v>32</x:v>
      </x:c>
      <x:c r="U83" s="80" t="str">
        <x:v>Raptor Lake</x:v>
      </x:c>
      <x:c r="V83" s="85" t="n">
        <x:v>6</x:v>
      </x:c>
      <x:c r="W83" s="85" t="n">
        <x:v>150</x:v>
      </x:c>
      <x:c r="X83" s="80"/>
      <x:c r="Y83" s="81" t="b">
        <x:v>0</x:v>
      </x:c>
      <x:c r="Z83" s="81" t="b">
        <x:v>1</x:v>
      </x:c>
      <x:c r="AA83" s="80" t="str">
        <x:v>high</x:v>
      </x:c>
      <x:c r="AB83" s="80"/>
      <x:c r="AC83" s="80"/>
      <x:c r="AD83" s="83" t="n">
        <x:v>44938</x:v>
      </x:c>
      <x:c r="AE83" s="80" t="str">
        <x:v>2023-01-12</x:v>
      </x:c>
      <x:c r="AF83" s="80" t="str">
        <x:v>exact</x:v>
      </x:c>
      <x:c r="AG83" s="80" t="str">
        <x:v>Core i9</x:v>
      </x:c>
      <x:c r="AH83" s="80" t="str">
        <x:v>13th Gen Core</x:v>
      </x:c>
      <x:c r="AI83" s="86" t="n">
        <x:v>8</x:v>
      </x:c>
      <x:c r="AJ83" s="86" t="n">
        <x:v>16</x:v>
      </x:c>
      <x:c r="AK83" s="86" t="n">
        <x:v>36</x:v>
      </x:c>
      <x:c r="AL83" s="86" t="n">
        <x:v>60477</x:v>
      </x:c>
      <x:c r="AM83" s="86" t="n">
        <x:v>4716</x:v>
      </x:c>
      <x:c r="AN83" s="83" t="n">
        <x:v>46218</x:v>
      </x:c>
    </x:row>
    <x:row r="84">
      <x:c r="A84" s="82" t="str">
        <x:v>intel-core-i3-14100</x:v>
      </x:c>
      <x:c r="B84" s="80" t="str">
        <x:v>Intel</x:v>
      </x:c>
      <x:c r="C84" s="80" t="str">
        <x:v>Core i3-14100</x:v>
      </x:c>
      <x:c r="D84" s="80" t="str">
        <x:v>Intel Core i3-14100</x:v>
      </x:c>
      <x:c r="E84" s="80"/>
      <x:c r="F84" s="80"/>
      <x:c r="G84" s="80"/>
      <x:c r="H84" s="80"/>
      <x:c r="I84" s="80" t="str">
        <x:v>Core i3-14100</x:v>
      </x:c>
      <x:c r="J84" s="80" t="str">
        <x:v>research_required</x:v>
      </x:c>
      <x:c r="K84" s="80" t="str">
        <x:v>unrated</x:v>
      </x:c>
      <x:c r="L84" s="83" t="n">
        <x:v>46218</x:v>
      </x:c>
      <x:c r="M84" s="14" t="str">
        <x:v>公式仕様とPassMark性能値を登録。ASIN/JAN、国内リテール品、保証条件、独立レビューは要確認。</x:v>
      </x:c>
      <x:c r="N84" s="14"/>
      <x:c r="O84" s="14"/>
      <x:c r="P84" s="14" t="str">
        <x:v>型番識別子・国内保証・販売形態を未確認</x:v>
      </x:c>
      <x:c r="Q84" s="14" t="str">
        <x:v>PassMarkスコアは2026-07-15確認時点。掲載値は更新されるため価格判定時に再確認してください。</x:v>
      </x:c>
      <x:c r="R84" s="80" t="str">
        <x:v>FCLGA1700</x:v>
      </x:c>
      <x:c r="S84" s="84" t="n">
        <x:v>4</x:v>
      </x:c>
      <x:c r="T84" s="84" t="n">
        <x:v>8</x:v>
      </x:c>
      <x:c r="U84" s="80" t="str">
        <x:v>Raptor Lake Refresh</x:v>
      </x:c>
      <x:c r="V84" s="85" t="n">
        <x:v>4.7</x:v>
      </x:c>
      <x:c r="W84" s="85" t="n">
        <x:v>60</x:v>
      </x:c>
      <x:c r="X84" s="80"/>
      <x:c r="Y84" s="81" t="b">
        <x:v>0</x:v>
      </x:c>
      <x:c r="Z84" s="81" t="b">
        <x:v>1</x:v>
      </x:c>
      <x:c r="AA84" s="80" t="str">
        <x:v>low</x:v>
      </x:c>
      <x:c r="AB84" s="80"/>
      <x:c r="AC84" s="80"/>
      <x:c r="AD84" s="83" t="n">
        <x:v>45299</x:v>
      </x:c>
      <x:c r="AE84" s="80" t="str">
        <x:v>2024-01-08</x:v>
      </x:c>
      <x:c r="AF84" s="80" t="str">
        <x:v>exact</x:v>
      </x:c>
      <x:c r="AG84" s="80" t="str">
        <x:v>Core i3</x:v>
      </x:c>
      <x:c r="AH84" s="80" t="str">
        <x:v>14th Gen Core</x:v>
      </x:c>
      <x:c r="AI84" s="86" t="n">
        <x:v>4</x:v>
      </x:c>
      <x:c r="AJ84" s="86" t="n">
        <x:v>0</x:v>
      </x:c>
      <x:c r="AK84" s="86" t="n">
        <x:v>12</x:v>
      </x:c>
      <x:c r="AL84" s="86" t="n">
        <x:v>15094</x:v>
      </x:c>
      <x:c r="AM84" s="86" t="n">
        <x:v>3761</x:v>
      </x:c>
      <x:c r="AN84" s="83" t="n">
        <x:v>46218</x:v>
      </x:c>
    </x:row>
    <x:row r="85">
      <x:c r="A85" s="82" t="str">
        <x:v>intel-core-i3-14100f</x:v>
      </x:c>
      <x:c r="B85" s="80" t="str">
        <x:v>Intel</x:v>
      </x:c>
      <x:c r="C85" s="80" t="str">
        <x:v>Core i3-14100F</x:v>
      </x:c>
      <x:c r="D85" s="80" t="str">
        <x:v>Intel Core i3-14100F</x:v>
      </x:c>
      <x:c r="E85" s="80"/>
      <x:c r="F85" s="80"/>
      <x:c r="G85" s="80"/>
      <x:c r="H85" s="80"/>
      <x:c r="I85" s="80" t="str">
        <x:v>Core i3-14100F</x:v>
      </x:c>
      <x:c r="J85" s="80" t="str">
        <x:v>research_required</x:v>
      </x:c>
      <x:c r="K85" s="80" t="str">
        <x:v>unrated</x:v>
      </x:c>
      <x:c r="L85" s="83" t="n">
        <x:v>46218</x:v>
      </x:c>
      <x:c r="M85" s="14" t="str">
        <x:v>公式仕様とPassMark性能値を登録。ASIN/JAN、国内リテール品、保証条件、独立レビューは要確認。</x:v>
      </x:c>
      <x:c r="N85" s="14"/>
      <x:c r="O85" s="14"/>
      <x:c r="P85" s="14" t="str">
        <x:v>型番識別子・国内保証・販売形態を未確認</x:v>
      </x:c>
      <x:c r="Q85" s="14" t="str">
        <x:v>PassMarkスコアは2026-07-15確認時点。掲載値は更新されるため価格判定時に再確認してください。</x:v>
      </x:c>
      <x:c r="R85" s="80" t="str">
        <x:v>FCLGA1700</x:v>
      </x:c>
      <x:c r="S85" s="84" t="n">
        <x:v>4</x:v>
      </x:c>
      <x:c r="T85" s="84" t="n">
        <x:v>8</x:v>
      </x:c>
      <x:c r="U85" s="80" t="str">
        <x:v>Raptor Lake Refresh</x:v>
      </x:c>
      <x:c r="V85" s="85" t="n">
        <x:v>4.7</x:v>
      </x:c>
      <x:c r="W85" s="85" t="n">
        <x:v>110</x:v>
      </x:c>
      <x:c r="X85" s="80"/>
      <x:c r="Y85" s="81" t="b">
        <x:v>0</x:v>
      </x:c>
      <x:c r="Z85" s="81" t="b">
        <x:v>0</x:v>
      </x:c>
      <x:c r="AA85" s="80" t="str">
        <x:v>medium</x:v>
      </x:c>
      <x:c r="AB85" s="80"/>
      <x:c r="AC85" s="80"/>
      <x:c r="AD85" s="83" t="n">
        <x:v>45299</x:v>
      </x:c>
      <x:c r="AE85" s="80" t="str">
        <x:v>2024-01-08</x:v>
      </x:c>
      <x:c r="AF85" s="80" t="str">
        <x:v>exact</x:v>
      </x:c>
      <x:c r="AG85" s="80" t="str">
        <x:v>Core i3</x:v>
      </x:c>
      <x:c r="AH85" s="80" t="str">
        <x:v>14th Gen Core</x:v>
      </x:c>
      <x:c r="AI85" s="86" t="n">
        <x:v>4</x:v>
      </x:c>
      <x:c r="AJ85" s="86" t="n">
        <x:v>0</x:v>
      </x:c>
      <x:c r="AK85" s="86" t="n">
        <x:v>12</x:v>
      </x:c>
      <x:c r="AL85" s="86" t="n">
        <x:v>15424</x:v>
      </x:c>
      <x:c r="AM85" s="86" t="n">
        <x:v>3777</x:v>
      </x:c>
      <x:c r="AN85" s="83" t="n">
        <x:v>46218</x:v>
      </x:c>
    </x:row>
    <x:row r="86">
      <x:c r="A86" s="82" t="str">
        <x:v>intel-core-i5-14400</x:v>
      </x:c>
      <x:c r="B86" s="80" t="str">
        <x:v>Intel</x:v>
      </x:c>
      <x:c r="C86" s="80" t="str">
        <x:v>Core i5-14400</x:v>
      </x:c>
      <x:c r="D86" s="80" t="str">
        <x:v>Intel Core i5-14400</x:v>
      </x:c>
      <x:c r="E86" s="80"/>
      <x:c r="F86" s="80"/>
      <x:c r="G86" s="80"/>
      <x:c r="H86" s="80"/>
      <x:c r="I86" s="80" t="str">
        <x:v>Core i5-14400</x:v>
      </x:c>
      <x:c r="J86" s="80" t="str">
        <x:v>research_required</x:v>
      </x:c>
      <x:c r="K86" s="80" t="str">
        <x:v>unrated</x:v>
      </x:c>
      <x:c r="L86" s="83" t="n">
        <x:v>46218</x:v>
      </x:c>
      <x:c r="M86" s="14" t="str">
        <x:v>公式仕様とPassMark性能値を登録。ASIN/JAN、国内リテール品、保証条件、独立レビューは要確認。</x:v>
      </x:c>
      <x:c r="N86" s="14"/>
      <x:c r="O86" s="14"/>
      <x:c r="P86" s="14" t="str">
        <x:v>型番識別子・国内保証・販売形態を未確認</x:v>
      </x:c>
      <x:c r="Q86" s="14" t="str">
        <x:v>PassMarkスコアは2026-07-15確認時点。掲載値は更新されるため価格判定時に再確認してください。</x:v>
      </x:c>
      <x:c r="R86" s="80" t="str">
        <x:v>FCLGA1700</x:v>
      </x:c>
      <x:c r="S86" s="84" t="n">
        <x:v>10</x:v>
      </x:c>
      <x:c r="T86" s="84" t="n">
        <x:v>16</x:v>
      </x:c>
      <x:c r="U86" s="80" t="str">
        <x:v>Raptor Lake Refresh</x:v>
      </x:c>
      <x:c r="V86" s="85"/>
      <x:c r="W86" s="85" t="n">
        <x:v>65</x:v>
      </x:c>
      <x:c r="X86" s="80"/>
      <x:c r="Y86" s="81" t="b">
        <x:v>0</x:v>
      </x:c>
      <x:c r="Z86" s="81" t="b">
        <x:v>1</x:v>
      </x:c>
      <x:c r="AA86" s="80" t="str">
        <x:v>low</x:v>
      </x:c>
      <x:c r="AB86" s="80"/>
      <x:c r="AC86" s="80"/>
      <x:c r="AD86" s="83" t="n">
        <x:v>45299</x:v>
      </x:c>
      <x:c r="AE86" s="80" t="str">
        <x:v>2024-01-08</x:v>
      </x:c>
      <x:c r="AF86" s="80" t="str">
        <x:v>exact</x:v>
      </x:c>
      <x:c r="AG86" s="80" t="str">
        <x:v>Core i5</x:v>
      </x:c>
      <x:c r="AH86" s="80" t="str">
        <x:v>14th Gen Core</x:v>
      </x:c>
      <x:c r="AI86" s="86" t="n">
        <x:v>6</x:v>
      </x:c>
      <x:c r="AJ86" s="86" t="n">
        <x:v>4</x:v>
      </x:c>
      <x:c r="AK86" s="86"/>
      <x:c r="AL86" s="86" t="n">
        <x:v>25096</x:v>
      </x:c>
      <x:c r="AM86" s="86" t="n">
        <x:v>3738</x:v>
      </x:c>
      <x:c r="AN86" s="83" t="n">
        <x:v>46218</x:v>
      </x:c>
    </x:row>
    <x:row r="87">
      <x:c r="A87" s="82" t="str">
        <x:v>intel-core-i5-14400f</x:v>
      </x:c>
      <x:c r="B87" s="80" t="str">
        <x:v>Intel</x:v>
      </x:c>
      <x:c r="C87" s="80" t="str">
        <x:v>Core i5-14400F</x:v>
      </x:c>
      <x:c r="D87" s="80" t="str">
        <x:v>Intel Core i5-14400F</x:v>
      </x:c>
      <x:c r="E87" s="80"/>
      <x:c r="F87" s="80"/>
      <x:c r="G87" s="80"/>
      <x:c r="H87" s="80"/>
      <x:c r="I87" s="80" t="str">
        <x:v>Core i5-14400F</x:v>
      </x:c>
      <x:c r="J87" s="80" t="str">
        <x:v>research_required</x:v>
      </x:c>
      <x:c r="K87" s="80" t="str">
        <x:v>unrated</x:v>
      </x:c>
      <x:c r="L87" s="83" t="n">
        <x:v>46218</x:v>
      </x:c>
      <x:c r="M87" s="14" t="str">
        <x:v>公式仕様とPassMark性能値を登録。ASIN/JAN、国内リテール品、保証条件、独立レビューは要確認。</x:v>
      </x:c>
      <x:c r="N87" s="14"/>
      <x:c r="O87" s="14"/>
      <x:c r="P87" s="14" t="str">
        <x:v>型番識別子・国内保証・販売形態を未確認</x:v>
      </x:c>
      <x:c r="Q87" s="14" t="str">
        <x:v>PassMarkスコアは2026-07-15確認時点。掲載値は更新されるため価格判定時に再確認してください。</x:v>
      </x:c>
      <x:c r="R87" s="80" t="str">
        <x:v>FCLGA1700</x:v>
      </x:c>
      <x:c r="S87" s="84" t="n">
        <x:v>10</x:v>
      </x:c>
      <x:c r="T87" s="84" t="n">
        <x:v>16</x:v>
      </x:c>
      <x:c r="U87" s="80" t="str">
        <x:v>Raptor Lake Refresh</x:v>
      </x:c>
      <x:c r="V87" s="85"/>
      <x:c r="W87" s="85" t="n">
        <x:v>65</x:v>
      </x:c>
      <x:c r="X87" s="80"/>
      <x:c r="Y87" s="81" t="b">
        <x:v>0</x:v>
      </x:c>
      <x:c r="Z87" s="81" t="b">
        <x:v>0</x:v>
      </x:c>
      <x:c r="AA87" s="80" t="str">
        <x:v>low</x:v>
      </x:c>
      <x:c r="AB87" s="80"/>
      <x:c r="AC87" s="80"/>
      <x:c r="AD87" s="83" t="n">
        <x:v>45299</x:v>
      </x:c>
      <x:c r="AE87" s="80" t="str">
        <x:v>2024-01-08</x:v>
      </x:c>
      <x:c r="AF87" s="80" t="str">
        <x:v>exact</x:v>
      </x:c>
      <x:c r="AG87" s="80" t="str">
        <x:v>Core i5</x:v>
      </x:c>
      <x:c r="AH87" s="80" t="str">
        <x:v>14th Gen Core</x:v>
      </x:c>
      <x:c r="AI87" s="86" t="n">
        <x:v>6</x:v>
      </x:c>
      <x:c r="AJ87" s="86" t="n">
        <x:v>4</x:v>
      </x:c>
      <x:c r="AK87" s="86"/>
      <x:c r="AL87" s="86" t="n">
        <x:v>25483</x:v>
      </x:c>
      <x:c r="AM87" s="86" t="n">
        <x:v>3700</x:v>
      </x:c>
      <x:c r="AN87" s="83" t="n">
        <x:v>46218</x:v>
      </x:c>
    </x:row>
    <x:row r="88">
      <x:c r="A88" s="82" t="str">
        <x:v>intel-core-i5-14500</x:v>
      </x:c>
      <x:c r="B88" s="80" t="str">
        <x:v>Intel</x:v>
      </x:c>
      <x:c r="C88" s="80" t="str">
        <x:v>Core i5-14500</x:v>
      </x:c>
      <x:c r="D88" s="80" t="str">
        <x:v>Intel Core i5-14500</x:v>
      </x:c>
      <x:c r="E88" s="80"/>
      <x:c r="F88" s="80"/>
      <x:c r="G88" s="80"/>
      <x:c r="H88" s="80"/>
      <x:c r="I88" s="80" t="str">
        <x:v>Core i5-14500</x:v>
      </x:c>
      <x:c r="J88" s="80" t="str">
        <x:v>research_required</x:v>
      </x:c>
      <x:c r="K88" s="80" t="str">
        <x:v>unrated</x:v>
      </x:c>
      <x:c r="L88" s="83" t="n">
        <x:v>46218</x:v>
      </x:c>
      <x:c r="M88" s="14" t="str">
        <x:v>公式仕様とPassMark性能値を登録。ASIN/JAN、国内リテール品、保証条件、独立レビューは要確認。</x:v>
      </x:c>
      <x:c r="N88" s="14"/>
      <x:c r="O88" s="14"/>
      <x:c r="P88" s="14" t="str">
        <x:v>型番識別子・国内保証・販売形態を未確認</x:v>
      </x:c>
      <x:c r="Q88" s="14" t="str">
        <x:v>PassMarkスコアは2026-07-15確認時点。掲載値は更新されるため価格判定時に再確認してください。</x:v>
      </x:c>
      <x:c r="R88" s="80" t="str">
        <x:v>FCLGA1700</x:v>
      </x:c>
      <x:c r="S88" s="84" t="n">
        <x:v>14</x:v>
      </x:c>
      <x:c r="T88" s="84" t="n">
        <x:v>20</x:v>
      </x:c>
      <x:c r="U88" s="80" t="str">
        <x:v>Raptor Lake Refresh</x:v>
      </x:c>
      <x:c r="V88" s="85" t="n">
        <x:v>5</x:v>
      </x:c>
      <x:c r="W88" s="85" t="n">
        <x:v>65</x:v>
      </x:c>
      <x:c r="X88" s="80"/>
      <x:c r="Y88" s="81" t="b">
        <x:v>0</x:v>
      </x:c>
      <x:c r="Z88" s="81" t="b">
        <x:v>1</x:v>
      </x:c>
      <x:c r="AA88" s="80" t="str">
        <x:v>low</x:v>
      </x:c>
      <x:c r="AB88" s="80"/>
      <x:c r="AC88" s="80"/>
      <x:c r="AD88" s="83" t="n">
        <x:v>45299</x:v>
      </x:c>
      <x:c r="AE88" s="80" t="str">
        <x:v>2024-01-08</x:v>
      </x:c>
      <x:c r="AF88" s="80" t="str">
        <x:v>exact</x:v>
      </x:c>
      <x:c r="AG88" s="80" t="str">
        <x:v>Core i5</x:v>
      </x:c>
      <x:c r="AH88" s="80" t="str">
        <x:v>14th Gen Core</x:v>
      </x:c>
      <x:c r="AI88" s="86" t="n">
        <x:v>6</x:v>
      </x:c>
      <x:c r="AJ88" s="86" t="n">
        <x:v>8</x:v>
      </x:c>
      <x:c r="AK88" s="86" t="n">
        <x:v>24</x:v>
      </x:c>
      <x:c r="AL88" s="86" t="n">
        <x:v>30856</x:v>
      </x:c>
      <x:c r="AM88" s="86" t="n">
        <x:v>3952</x:v>
      </x:c>
      <x:c r="AN88" s="83" t="n">
        <x:v>46218</x:v>
      </x:c>
    </x:row>
    <x:row r="89">
      <x:c r="A89" s="82" t="str">
        <x:v>intel-core-i5-14600</x:v>
      </x:c>
      <x:c r="B89" s="80" t="str">
        <x:v>Intel</x:v>
      </x:c>
      <x:c r="C89" s="80" t="str">
        <x:v>Core i5-14600</x:v>
      </x:c>
      <x:c r="D89" s="80" t="str">
        <x:v>Intel Core i5-14600</x:v>
      </x:c>
      <x:c r="E89" s="80"/>
      <x:c r="F89" s="80"/>
      <x:c r="G89" s="80"/>
      <x:c r="H89" s="80"/>
      <x:c r="I89" s="80" t="str">
        <x:v>Core i5-14600</x:v>
      </x:c>
      <x:c r="J89" s="80" t="str">
        <x:v>research_required</x:v>
      </x:c>
      <x:c r="K89" s="80" t="str">
        <x:v>unrated</x:v>
      </x:c>
      <x:c r="L89" s="83" t="n">
        <x:v>46218</x:v>
      </x:c>
      <x:c r="M89" s="14" t="str">
        <x:v>公式仕様とPassMark性能値を登録。ASIN/JAN、国内リテール品、保証条件、独立レビューは要確認。</x:v>
      </x:c>
      <x:c r="N89" s="14"/>
      <x:c r="O89" s="14"/>
      <x:c r="P89" s="14" t="str">
        <x:v>型番識別子・国内保証・販売形態を未確認</x:v>
      </x:c>
      <x:c r="Q89" s="14" t="str">
        <x:v>PassMarkスコアは2026-07-15確認時点。掲載値は更新されるため価格判定時に再確認してください。</x:v>
      </x:c>
      <x:c r="R89" s="80" t="str">
        <x:v>FCLGA1700</x:v>
      </x:c>
      <x:c r="S89" s="84" t="n">
        <x:v>14</x:v>
      </x:c>
      <x:c r="T89" s="84" t="n">
        <x:v>20</x:v>
      </x:c>
      <x:c r="U89" s="80" t="str">
        <x:v>Raptor Lake Refresh</x:v>
      </x:c>
      <x:c r="V89" s="85" t="n">
        <x:v>5.2</x:v>
      </x:c>
      <x:c r="W89" s="85" t="n">
        <x:v>65</x:v>
      </x:c>
      <x:c r="X89" s="80"/>
      <x:c r="Y89" s="81" t="b">
        <x:v>0</x:v>
      </x:c>
      <x:c r="Z89" s="81" t="b">
        <x:v>1</x:v>
      </x:c>
      <x:c r="AA89" s="80" t="str">
        <x:v>low</x:v>
      </x:c>
      <x:c r="AB89" s="80"/>
      <x:c r="AC89" s="80"/>
      <x:c r="AD89" s="83" t="n">
        <x:v>45299</x:v>
      </x:c>
      <x:c r="AE89" s="80" t="str">
        <x:v>2024-01-08</x:v>
      </x:c>
      <x:c r="AF89" s="80" t="str">
        <x:v>exact</x:v>
      </x:c>
      <x:c r="AG89" s="80" t="str">
        <x:v>Core i5</x:v>
      </x:c>
      <x:c r="AH89" s="80" t="str">
        <x:v>14th Gen Core</x:v>
      </x:c>
      <x:c r="AI89" s="86" t="n">
        <x:v>6</x:v>
      </x:c>
      <x:c r="AJ89" s="86" t="n">
        <x:v>8</x:v>
      </x:c>
      <x:c r="AK89" s="86" t="n">
        <x:v>24</x:v>
      </x:c>
      <x:c r="AL89" s="86" t="n">
        <x:v>35943</x:v>
      </x:c>
      <x:c r="AM89" s="86" t="n">
        <x:v>4169</x:v>
      </x:c>
      <x:c r="AN89" s="83" t="n">
        <x:v>46218</x:v>
      </x:c>
    </x:row>
    <x:row r="90">
      <x:c r="A90" s="82" t="str">
        <x:v>intel-core-i5-14600k</x:v>
      </x:c>
      <x:c r="B90" s="80" t="str">
        <x:v>Intel</x:v>
      </x:c>
      <x:c r="C90" s="80" t="str">
        <x:v>Core i5-14600K</x:v>
      </x:c>
      <x:c r="D90" s="80" t="str">
        <x:v>Intel Core i5-14600K</x:v>
      </x:c>
      <x:c r="E90" s="80"/>
      <x:c r="F90" s="80"/>
      <x:c r="G90" s="80"/>
      <x:c r="H90" s="80"/>
      <x:c r="I90" s="80" t="str">
        <x:v>Core i5-14600K</x:v>
      </x:c>
      <x:c r="J90" s="80" t="str">
        <x:v>research_required</x:v>
      </x:c>
      <x:c r="K90" s="80" t="str">
        <x:v>unrated</x:v>
      </x:c>
      <x:c r="L90" s="83" t="n">
        <x:v>46218</x:v>
      </x:c>
      <x:c r="M90" s="14" t="str">
        <x:v>公式仕様とPassMark性能値を登録。ASIN/JAN、国内リテール品、保証条件、独立レビューは要確認。</x:v>
      </x:c>
      <x:c r="N90" s="14"/>
      <x:c r="O90" s="14"/>
      <x:c r="P90" s="14" t="str">
        <x:v>型番識別子・国内保証・販売形態を未確認</x:v>
      </x:c>
      <x:c r="Q90" s="14" t="str">
        <x:v>PassMarkスコアは2026-07-15確認時点。掲載値は更新されるため価格判定時に再確認してください。</x:v>
      </x:c>
      <x:c r="R90" s="80" t="str">
        <x:v>FCLGA1700</x:v>
      </x:c>
      <x:c r="S90" s="84" t="n">
        <x:v>14</x:v>
      </x:c>
      <x:c r="T90" s="84" t="n">
        <x:v>20</x:v>
      </x:c>
      <x:c r="U90" s="80" t="str">
        <x:v>Raptor Lake Refresh</x:v>
      </x:c>
      <x:c r="V90" s="85" t="n">
        <x:v>5.3</x:v>
      </x:c>
      <x:c r="W90" s="85" t="n">
        <x:v>125</x:v>
      </x:c>
      <x:c r="X90" s="80"/>
      <x:c r="Y90" s="81" t="b">
        <x:v>0</x:v>
      </x:c>
      <x:c r="Z90" s="81" t="b">
        <x:v>1</x:v>
      </x:c>
      <x:c r="AA90" s="80" t="str">
        <x:v>high</x:v>
      </x:c>
      <x:c r="AB90" s="80"/>
      <x:c r="AC90" s="80"/>
      <x:c r="AD90" s="83" t="n">
        <x:v>45216</x:v>
      </x:c>
      <x:c r="AE90" s="80" t="str">
        <x:v>2023-10-17</x:v>
      </x:c>
      <x:c r="AF90" s="80" t="str">
        <x:v>exact</x:v>
      </x:c>
      <x:c r="AG90" s="80" t="str">
        <x:v>Core i5</x:v>
      </x:c>
      <x:c r="AH90" s="80" t="str">
        <x:v>14th Gen Core</x:v>
      </x:c>
      <x:c r="AI90" s="86" t="n">
        <x:v>6</x:v>
      </x:c>
      <x:c r="AJ90" s="86" t="n">
        <x:v>8</x:v>
      </x:c>
      <x:c r="AK90" s="86" t="n">
        <x:v>24</x:v>
      </x:c>
      <x:c r="AL90" s="86" t="n">
        <x:v>38436</x:v>
      </x:c>
      <x:c r="AM90" s="86" t="n">
        <x:v>4268</x:v>
      </x:c>
      <x:c r="AN90" s="83" t="n">
        <x:v>46218</x:v>
      </x:c>
    </x:row>
    <x:row r="91">
      <x:c r="A91" s="82" t="str">
        <x:v>intel-core-i5-14600kf</x:v>
      </x:c>
      <x:c r="B91" s="80" t="str">
        <x:v>Intel</x:v>
      </x:c>
      <x:c r="C91" s="80" t="str">
        <x:v>Core i5-14600KF</x:v>
      </x:c>
      <x:c r="D91" s="80" t="str">
        <x:v>Intel Core i5-14600KF</x:v>
      </x:c>
      <x:c r="E91" s="80"/>
      <x:c r="F91" s="80"/>
      <x:c r="G91" s="80"/>
      <x:c r="H91" s="80"/>
      <x:c r="I91" s="80" t="str">
        <x:v>Core i5-14600KF</x:v>
      </x:c>
      <x:c r="J91" s="80" t="str">
        <x:v>research_required</x:v>
      </x:c>
      <x:c r="K91" s="80" t="str">
        <x:v>unrated</x:v>
      </x:c>
      <x:c r="L91" s="83" t="n">
        <x:v>46218</x:v>
      </x:c>
      <x:c r="M91" s="14" t="str">
        <x:v>公式仕様とPassMark性能値を登録。ASIN/JAN、国内リテール品、保証条件、独立レビューは要確認。</x:v>
      </x:c>
      <x:c r="N91" s="14"/>
      <x:c r="O91" s="14"/>
      <x:c r="P91" s="14" t="str">
        <x:v>型番識別子・国内保証・販売形態を未確認</x:v>
      </x:c>
      <x:c r="Q91" s="14" t="str">
        <x:v>PassMarkスコアは2026-07-15確認時点。掲載値は更新されるため価格判定時に再確認してください。</x:v>
      </x:c>
      <x:c r="R91" s="80" t="str">
        <x:v>FCLGA1700</x:v>
      </x:c>
      <x:c r="S91" s="84" t="n">
        <x:v>14</x:v>
      </x:c>
      <x:c r="T91" s="84" t="n">
        <x:v>20</x:v>
      </x:c>
      <x:c r="U91" s="80" t="str">
        <x:v>Raptor Lake Refresh</x:v>
      </x:c>
      <x:c r="V91" s="85" t="n">
        <x:v>5.3</x:v>
      </x:c>
      <x:c r="W91" s="85" t="n">
        <x:v>125</x:v>
      </x:c>
      <x:c r="X91" s="80"/>
      <x:c r="Y91" s="81" t="b">
        <x:v>0</x:v>
      </x:c>
      <x:c r="Z91" s="81" t="b">
        <x:v>0</x:v>
      </x:c>
      <x:c r="AA91" s="80" t="str">
        <x:v>high</x:v>
      </x:c>
      <x:c r="AB91" s="80"/>
      <x:c r="AC91" s="80"/>
      <x:c r="AD91" s="83" t="n">
        <x:v>45216</x:v>
      </x:c>
      <x:c r="AE91" s="80" t="str">
        <x:v>2023-10-17</x:v>
      </x:c>
      <x:c r="AF91" s="80" t="str">
        <x:v>exact</x:v>
      </x:c>
      <x:c r="AG91" s="80" t="str">
        <x:v>Core i5</x:v>
      </x:c>
      <x:c r="AH91" s="80" t="str">
        <x:v>14th Gen Core</x:v>
      </x:c>
      <x:c r="AI91" s="86" t="n">
        <x:v>6</x:v>
      </x:c>
      <x:c r="AJ91" s="86" t="n">
        <x:v>8</x:v>
      </x:c>
      <x:c r="AK91" s="86" t="n">
        <x:v>24</x:v>
      </x:c>
      <x:c r="AL91" s="86" t="n">
        <x:v>38333</x:v>
      </x:c>
      <x:c r="AM91" s="86" t="n">
        <x:v>4255</x:v>
      </x:c>
      <x:c r="AN91" s="83" t="n">
        <x:v>46218</x:v>
      </x:c>
    </x:row>
    <x:row r="92">
      <x:c r="A92" s="82" t="str">
        <x:v>intel-core-i7-14700</x:v>
      </x:c>
      <x:c r="B92" s="80" t="str">
        <x:v>Intel</x:v>
      </x:c>
      <x:c r="C92" s="80" t="str">
        <x:v>Core i7-14700</x:v>
      </x:c>
      <x:c r="D92" s="80" t="str">
        <x:v>Intel Core i7-14700</x:v>
      </x:c>
      <x:c r="E92" s="80"/>
      <x:c r="F92" s="80"/>
      <x:c r="G92" s="80"/>
      <x:c r="H92" s="80"/>
      <x:c r="I92" s="80" t="str">
        <x:v>Core i7-14700</x:v>
      </x:c>
      <x:c r="J92" s="80" t="str">
        <x:v>research_required</x:v>
      </x:c>
      <x:c r="K92" s="80" t="str">
        <x:v>unrated</x:v>
      </x:c>
      <x:c r="L92" s="83" t="n">
        <x:v>46218</x:v>
      </x:c>
      <x:c r="M92" s="14" t="str">
        <x:v>公式仕様とPassMark性能値を登録。ASIN/JAN、国内リテール品、保証条件、独立レビューは要確認。</x:v>
      </x:c>
      <x:c r="N92" s="14"/>
      <x:c r="O92" s="14"/>
      <x:c r="P92" s="14" t="str">
        <x:v>型番識別子・国内保証・販売形態を未確認</x:v>
      </x:c>
      <x:c r="Q92" s="14" t="str">
        <x:v>PassMarkスコアは2026-07-15確認時点。掲載値は更新されるため価格判定時に再確認してください。</x:v>
      </x:c>
      <x:c r="R92" s="80" t="str">
        <x:v>FCLGA1700</x:v>
      </x:c>
      <x:c r="S92" s="84" t="n">
        <x:v>20</x:v>
      </x:c>
      <x:c r="T92" s="84" t="n">
        <x:v>28</x:v>
      </x:c>
      <x:c r="U92" s="80" t="str">
        <x:v>Raptor Lake Refresh</x:v>
      </x:c>
      <x:c r="V92" s="85" t="n">
        <x:v>5.4</x:v>
      </x:c>
      <x:c r="W92" s="85" t="n">
        <x:v>65</x:v>
      </x:c>
      <x:c r="X92" s="80"/>
      <x:c r="Y92" s="81" t="b">
        <x:v>0</x:v>
      </x:c>
      <x:c r="Z92" s="81" t="b">
        <x:v>1</x:v>
      </x:c>
      <x:c r="AA92" s="80" t="str">
        <x:v>low</x:v>
      </x:c>
      <x:c r="AB92" s="80"/>
      <x:c r="AC92" s="80"/>
      <x:c r="AD92" s="83" t="n">
        <x:v>45299</x:v>
      </x:c>
      <x:c r="AE92" s="80" t="str">
        <x:v>2024-01-08</x:v>
      </x:c>
      <x:c r="AF92" s="80" t="str">
        <x:v>exact</x:v>
      </x:c>
      <x:c r="AG92" s="80" t="str">
        <x:v>Core i7</x:v>
      </x:c>
      <x:c r="AH92" s="80" t="str">
        <x:v>14th Gen Core</x:v>
      </x:c>
      <x:c r="AI92" s="86" t="n">
        <x:v>8</x:v>
      </x:c>
      <x:c r="AJ92" s="86" t="n">
        <x:v>12</x:v>
      </x:c>
      <x:c r="AK92" s="86" t="n">
        <x:v>33</x:v>
      </x:c>
      <x:c r="AL92" s="86" t="n">
        <x:v>40418</x:v>
      </x:c>
      <x:c r="AM92" s="86" t="n">
        <x:v>4241</x:v>
      </x:c>
      <x:c r="AN92" s="83" t="n">
        <x:v>46218</x:v>
      </x:c>
    </x:row>
    <x:row r="93">
      <x:c r="A93" s="82" t="str">
        <x:v>intel-core-i7-14700f</x:v>
      </x:c>
      <x:c r="B93" s="80" t="str">
        <x:v>Intel</x:v>
      </x:c>
      <x:c r="C93" s="80" t="str">
        <x:v>Core i7-14700F</x:v>
      </x:c>
      <x:c r="D93" s="80" t="str">
        <x:v>Intel Core i7-14700F</x:v>
      </x:c>
      <x:c r="E93" s="80"/>
      <x:c r="F93" s="80"/>
      <x:c r="G93" s="80"/>
      <x:c r="H93" s="80"/>
      <x:c r="I93" s="80" t="str">
        <x:v>Core i7-14700F</x:v>
      </x:c>
      <x:c r="J93" s="80" t="str">
        <x:v>research_required</x:v>
      </x:c>
      <x:c r="K93" s="80" t="str">
        <x:v>unrated</x:v>
      </x:c>
      <x:c r="L93" s="83" t="n">
        <x:v>46218</x:v>
      </x:c>
      <x:c r="M93" s="14" t="str">
        <x:v>公式仕様とPassMark性能値を登録。ASIN/JAN、国内リテール品、保証条件、独立レビューは要確認。</x:v>
      </x:c>
      <x:c r="N93" s="14"/>
      <x:c r="O93" s="14"/>
      <x:c r="P93" s="14" t="str">
        <x:v>型番識別子・国内保証・販売形態を未確認</x:v>
      </x:c>
      <x:c r="Q93" s="14" t="str">
        <x:v>PassMarkスコアは2026-07-15確認時点。掲載値は更新されるため価格判定時に再確認してください。</x:v>
      </x:c>
      <x:c r="R93" s="80" t="str">
        <x:v>FCLGA1700</x:v>
      </x:c>
      <x:c r="S93" s="84" t="n">
        <x:v>20</x:v>
      </x:c>
      <x:c r="T93" s="84" t="n">
        <x:v>28</x:v>
      </x:c>
      <x:c r="U93" s="80" t="str">
        <x:v>Raptor Lake Refresh</x:v>
      </x:c>
      <x:c r="V93" s="85" t="n">
        <x:v>5.4</x:v>
      </x:c>
      <x:c r="W93" s="85" t="n">
        <x:v>65</x:v>
      </x:c>
      <x:c r="X93" s="80"/>
      <x:c r="Y93" s="81" t="b">
        <x:v>0</x:v>
      </x:c>
      <x:c r="Z93" s="81" t="b">
        <x:v>0</x:v>
      </x:c>
      <x:c r="AA93" s="80" t="str">
        <x:v>low</x:v>
      </x:c>
      <x:c r="AB93" s="80"/>
      <x:c r="AC93" s="80"/>
      <x:c r="AD93" s="83" t="n">
        <x:v>45299</x:v>
      </x:c>
      <x:c r="AE93" s="80" t="str">
        <x:v>2024-01-08</x:v>
      </x:c>
      <x:c r="AF93" s="80" t="str">
        <x:v>exact</x:v>
      </x:c>
      <x:c r="AG93" s="80" t="str">
        <x:v>Core i7</x:v>
      </x:c>
      <x:c r="AH93" s="80" t="str">
        <x:v>14th Gen Core</x:v>
      </x:c>
      <x:c r="AI93" s="86" t="n">
        <x:v>8</x:v>
      </x:c>
      <x:c r="AJ93" s="86" t="n">
        <x:v>12</x:v>
      </x:c>
      <x:c r="AK93" s="86" t="n">
        <x:v>33</x:v>
      </x:c>
      <x:c r="AL93" s="86" t="n">
        <x:v>41371</x:v>
      </x:c>
      <x:c r="AM93" s="86" t="n">
        <x:v>4258</x:v>
      </x:c>
      <x:c r="AN93" s="83" t="n">
        <x:v>46218</x:v>
      </x:c>
    </x:row>
    <x:row r="94">
      <x:c r="A94" s="82" t="str">
        <x:v>intel-core-i7-14700k</x:v>
      </x:c>
      <x:c r="B94" s="80" t="str">
        <x:v>Intel</x:v>
      </x:c>
      <x:c r="C94" s="80" t="str">
        <x:v>Core i7-14700K</x:v>
      </x:c>
      <x:c r="D94" s="80" t="str">
        <x:v>Intel Core i7-14700K</x:v>
      </x:c>
      <x:c r="E94" s="80"/>
      <x:c r="F94" s="80"/>
      <x:c r="G94" s="80"/>
      <x:c r="H94" s="80"/>
      <x:c r="I94" s="80" t="str">
        <x:v>Core i7-14700K</x:v>
      </x:c>
      <x:c r="J94" s="80" t="str">
        <x:v>research_required</x:v>
      </x:c>
      <x:c r="K94" s="80" t="str">
        <x:v>unrated</x:v>
      </x:c>
      <x:c r="L94" s="83" t="n">
        <x:v>46218</x:v>
      </x:c>
      <x:c r="M94" s="14" t="str">
        <x:v>公式仕様とPassMark性能値を登録。ASIN/JAN、国内リテール品、保証条件、独立レビューは要確認。</x:v>
      </x:c>
      <x:c r="N94" s="14"/>
      <x:c r="O94" s="14"/>
      <x:c r="P94" s="14" t="str">
        <x:v>型番識別子・国内保証・販売形態を未確認</x:v>
      </x:c>
      <x:c r="Q94" s="14" t="str">
        <x:v>PassMarkスコアは2026-07-15確認時点。掲載値は更新されるため価格判定時に再確認してください。</x:v>
      </x:c>
      <x:c r="R94" s="80" t="str">
        <x:v>FCLGA1700</x:v>
      </x:c>
      <x:c r="S94" s="84" t="n">
        <x:v>20</x:v>
      </x:c>
      <x:c r="T94" s="84" t="n">
        <x:v>28</x:v>
      </x:c>
      <x:c r="U94" s="80" t="str">
        <x:v>Raptor Lake Refresh</x:v>
      </x:c>
      <x:c r="V94" s="85" t="n">
        <x:v>5.6</x:v>
      </x:c>
      <x:c r="W94" s="85" t="n">
        <x:v>125</x:v>
      </x:c>
      <x:c r="X94" s="80"/>
      <x:c r="Y94" s="81" t="b">
        <x:v>0</x:v>
      </x:c>
      <x:c r="Z94" s="81" t="b">
        <x:v>1</x:v>
      </x:c>
      <x:c r="AA94" s="80" t="str">
        <x:v>high</x:v>
      </x:c>
      <x:c r="AB94" s="80"/>
      <x:c r="AC94" s="80"/>
      <x:c r="AD94" s="83" t="n">
        <x:v>45216</x:v>
      </x:c>
      <x:c r="AE94" s="80" t="str">
        <x:v>2023-10-17</x:v>
      </x:c>
      <x:c r="AF94" s="80" t="str">
        <x:v>exact</x:v>
      </x:c>
      <x:c r="AG94" s="80" t="str">
        <x:v>Core i7</x:v>
      </x:c>
      <x:c r="AH94" s="80" t="str">
        <x:v>14th Gen Core</x:v>
      </x:c>
      <x:c r="AI94" s="86" t="n">
        <x:v>8</x:v>
      </x:c>
      <x:c r="AJ94" s="86" t="n">
        <x:v>12</x:v>
      </x:c>
      <x:c r="AK94" s="86" t="n">
        <x:v>33</x:v>
      </x:c>
      <x:c r="AL94" s="86" t="n">
        <x:v>51956</x:v>
      </x:c>
      <x:c r="AM94" s="86" t="n">
        <x:v>4455</x:v>
      </x:c>
      <x:c r="AN94" s="83" t="n">
        <x:v>46218</x:v>
      </x:c>
    </x:row>
    <x:row r="95">
      <x:c r="A95" s="82" t="str">
        <x:v>intel-core-i7-14700kf</x:v>
      </x:c>
      <x:c r="B95" s="80" t="str">
        <x:v>Intel</x:v>
      </x:c>
      <x:c r="C95" s="80" t="str">
        <x:v>Core i7-14700KF</x:v>
      </x:c>
      <x:c r="D95" s="80" t="str">
        <x:v>Intel Core i7-14700KF</x:v>
      </x:c>
      <x:c r="E95" s="80"/>
      <x:c r="F95" s="80"/>
      <x:c r="G95" s="80"/>
      <x:c r="H95" s="80"/>
      <x:c r="I95" s="80" t="str">
        <x:v>Core i7-14700KF</x:v>
      </x:c>
      <x:c r="J95" s="80" t="str">
        <x:v>research_required</x:v>
      </x:c>
      <x:c r="K95" s="80" t="str">
        <x:v>unrated</x:v>
      </x:c>
      <x:c r="L95" s="83" t="n">
        <x:v>46218</x:v>
      </x:c>
      <x:c r="M95" s="14" t="str">
        <x:v>公式仕様とPassMark性能値を登録。ASIN/JAN、国内リテール品、保証条件、独立レビューは要確認。</x:v>
      </x:c>
      <x:c r="N95" s="14"/>
      <x:c r="O95" s="14"/>
      <x:c r="P95" s="14" t="str">
        <x:v>型番識別子・国内保証・販売形態を未確認</x:v>
      </x:c>
      <x:c r="Q95" s="14" t="str">
        <x:v>PassMarkスコアは2026-07-15確認時点。掲載値は更新されるため価格判定時に再確認してください。</x:v>
      </x:c>
      <x:c r="R95" s="80" t="str">
        <x:v>FCLGA1700</x:v>
      </x:c>
      <x:c r="S95" s="84" t="n">
        <x:v>20</x:v>
      </x:c>
      <x:c r="T95" s="84" t="n">
        <x:v>28</x:v>
      </x:c>
      <x:c r="U95" s="80" t="str">
        <x:v>Raptor Lake Refresh</x:v>
      </x:c>
      <x:c r="V95" s="85" t="n">
        <x:v>5.6</x:v>
      </x:c>
      <x:c r="W95" s="85" t="n">
        <x:v>125</x:v>
      </x:c>
      <x:c r="X95" s="80"/>
      <x:c r="Y95" s="81" t="b">
        <x:v>0</x:v>
      </x:c>
      <x:c r="Z95" s="81" t="b">
        <x:v>0</x:v>
      </x:c>
      <x:c r="AA95" s="80" t="str">
        <x:v>high</x:v>
      </x:c>
      <x:c r="AB95" s="80"/>
      <x:c r="AC95" s="80"/>
      <x:c r="AD95" s="83" t="n">
        <x:v>45216</x:v>
      </x:c>
      <x:c r="AE95" s="80" t="str">
        <x:v>2023-10-17</x:v>
      </x:c>
      <x:c r="AF95" s="80" t="str">
        <x:v>exact</x:v>
      </x:c>
      <x:c r="AG95" s="80" t="str">
        <x:v>Core i7</x:v>
      </x:c>
      <x:c r="AH95" s="80" t="str">
        <x:v>14th Gen Core</x:v>
      </x:c>
      <x:c r="AI95" s="86" t="n">
        <x:v>8</x:v>
      </x:c>
      <x:c r="AJ95" s="86" t="n">
        <x:v>12</x:v>
      </x:c>
      <x:c r="AK95" s="86" t="n">
        <x:v>33</x:v>
      </x:c>
      <x:c r="AL95" s="86" t="n">
        <x:v>52059</x:v>
      </x:c>
      <x:c r="AM95" s="86" t="n">
        <x:v>4469</x:v>
      </x:c>
      <x:c r="AN95" s="83" t="n">
        <x:v>46218</x:v>
      </x:c>
    </x:row>
    <x:row r="96">
      <x:c r="A96" s="82" t="str">
        <x:v>intel-core-i9-14900</x:v>
      </x:c>
      <x:c r="B96" s="80" t="str">
        <x:v>Intel</x:v>
      </x:c>
      <x:c r="C96" s="80" t="str">
        <x:v>Core i9-14900</x:v>
      </x:c>
      <x:c r="D96" s="80" t="str">
        <x:v>Intel Core i9-14900</x:v>
      </x:c>
      <x:c r="E96" s="80"/>
      <x:c r="F96" s="80"/>
      <x:c r="G96" s="80"/>
      <x:c r="H96" s="80"/>
      <x:c r="I96" s="80" t="str">
        <x:v>Core i9-14900</x:v>
      </x:c>
      <x:c r="J96" s="80" t="str">
        <x:v>research_required</x:v>
      </x:c>
      <x:c r="K96" s="80" t="str">
        <x:v>unrated</x:v>
      </x:c>
      <x:c r="L96" s="83" t="n">
        <x:v>46218</x:v>
      </x:c>
      <x:c r="M96" s="14" t="str">
        <x:v>公式仕様とPassMark性能値を登録。ASIN/JAN、国内リテール品、保証条件、独立レビューは要確認。</x:v>
      </x:c>
      <x:c r="N96" s="14"/>
      <x:c r="O96" s="14"/>
      <x:c r="P96" s="14" t="str">
        <x:v>型番識別子・国内保証・販売形態を未確認</x:v>
      </x:c>
      <x:c r="Q96" s="14" t="str">
        <x:v>PassMarkスコアは2026-07-15確認時点。掲載値は更新されるため価格判定時に再確認してください。</x:v>
      </x:c>
      <x:c r="R96" s="80" t="str">
        <x:v>FCLGA1700</x:v>
      </x:c>
      <x:c r="S96" s="84" t="n">
        <x:v>24</x:v>
      </x:c>
      <x:c r="T96" s="84" t="n">
        <x:v>32</x:v>
      </x:c>
      <x:c r="U96" s="80" t="str">
        <x:v>Raptor Lake Refresh</x:v>
      </x:c>
      <x:c r="V96" s="85" t="n">
        <x:v>5.8</x:v>
      </x:c>
      <x:c r="W96" s="85" t="n">
        <x:v>65</x:v>
      </x:c>
      <x:c r="X96" s="80"/>
      <x:c r="Y96" s="81" t="b">
        <x:v>0</x:v>
      </x:c>
      <x:c r="Z96" s="81" t="b">
        <x:v>1</x:v>
      </x:c>
      <x:c r="AA96" s="80" t="str">
        <x:v>low</x:v>
      </x:c>
      <x:c r="AB96" s="80"/>
      <x:c r="AC96" s="80"/>
      <x:c r="AD96" s="83" t="n">
        <x:v>45299</x:v>
      </x:c>
      <x:c r="AE96" s="80" t="str">
        <x:v>2024-01-08</x:v>
      </x:c>
      <x:c r="AF96" s="80" t="str">
        <x:v>exact</x:v>
      </x:c>
      <x:c r="AG96" s="80" t="str">
        <x:v>Core i9</x:v>
      </x:c>
      <x:c r="AH96" s="80" t="str">
        <x:v>14th Gen Core</x:v>
      </x:c>
      <x:c r="AI96" s="86" t="n">
        <x:v>8</x:v>
      </x:c>
      <x:c r="AJ96" s="86" t="n">
        <x:v>16</x:v>
      </x:c>
      <x:c r="AK96" s="86" t="n">
        <x:v>36</x:v>
      </x:c>
      <x:c r="AL96" s="86" t="n">
        <x:v>44723</x:v>
      </x:c>
      <x:c r="AM96" s="86" t="n">
        <x:v>4321</x:v>
      </x:c>
      <x:c r="AN96" s="83" t="n">
        <x:v>46218</x:v>
      </x:c>
    </x:row>
    <x:row r="97">
      <x:c r="A97" s="82" t="str">
        <x:v>intel-core-i9-14900f</x:v>
      </x:c>
      <x:c r="B97" s="80" t="str">
        <x:v>Intel</x:v>
      </x:c>
      <x:c r="C97" s="80" t="str">
        <x:v>Core i9-14900F</x:v>
      </x:c>
      <x:c r="D97" s="80" t="str">
        <x:v>Intel Core i9-14900F</x:v>
      </x:c>
      <x:c r="E97" s="80"/>
      <x:c r="F97" s="80"/>
      <x:c r="G97" s="80"/>
      <x:c r="H97" s="80"/>
      <x:c r="I97" s="80" t="str">
        <x:v>Core i9-14900F</x:v>
      </x:c>
      <x:c r="J97" s="80" t="str">
        <x:v>research_required</x:v>
      </x:c>
      <x:c r="K97" s="80" t="str">
        <x:v>unrated</x:v>
      </x:c>
      <x:c r="L97" s="83" t="n">
        <x:v>46218</x:v>
      </x:c>
      <x:c r="M97" s="14" t="str">
        <x:v>公式仕様とPassMark性能値を登録。ASIN/JAN、国内リテール品、保証条件、独立レビューは要確認。</x:v>
      </x:c>
      <x:c r="N97" s="14"/>
      <x:c r="O97" s="14"/>
      <x:c r="P97" s="14" t="str">
        <x:v>型番識別子・国内保証・販売形態を未確認</x:v>
      </x:c>
      <x:c r="Q97" s="14" t="str">
        <x:v>PassMarkスコアは2026-07-15確認時点。掲載値は更新されるため価格判定時に再確認してください。</x:v>
      </x:c>
      <x:c r="R97" s="80" t="str">
        <x:v>FCLGA1700</x:v>
      </x:c>
      <x:c r="S97" s="84" t="n">
        <x:v>24</x:v>
      </x:c>
      <x:c r="T97" s="84" t="n">
        <x:v>32</x:v>
      </x:c>
      <x:c r="U97" s="80" t="str">
        <x:v>Raptor Lake Refresh</x:v>
      </x:c>
      <x:c r="V97" s="85" t="n">
        <x:v>5.8</x:v>
      </x:c>
      <x:c r="W97" s="85" t="n">
        <x:v>65</x:v>
      </x:c>
      <x:c r="X97" s="80"/>
      <x:c r="Y97" s="81" t="b">
        <x:v>0</x:v>
      </x:c>
      <x:c r="Z97" s="81" t="b">
        <x:v>0</x:v>
      </x:c>
      <x:c r="AA97" s="80" t="str">
        <x:v>low</x:v>
      </x:c>
      <x:c r="AB97" s="80"/>
      <x:c r="AC97" s="80"/>
      <x:c r="AD97" s="83" t="n">
        <x:v>45299</x:v>
      </x:c>
      <x:c r="AE97" s="80" t="str">
        <x:v>2024-01-08</x:v>
      </x:c>
      <x:c r="AF97" s="80" t="str">
        <x:v>exact</x:v>
      </x:c>
      <x:c r="AG97" s="80" t="str">
        <x:v>Core i9</x:v>
      </x:c>
      <x:c r="AH97" s="80" t="str">
        <x:v>14th Gen Core</x:v>
      </x:c>
      <x:c r="AI97" s="86" t="n">
        <x:v>8</x:v>
      </x:c>
      <x:c r="AJ97" s="86" t="n">
        <x:v>16</x:v>
      </x:c>
      <x:c r="AK97" s="86" t="n">
        <x:v>36</x:v>
      </x:c>
      <x:c r="AL97" s="86" t="n">
        <x:v>46588</x:v>
      </x:c>
      <x:c r="AM97" s="86" t="n">
        <x:v>4510</x:v>
      </x:c>
      <x:c r="AN97" s="83" t="n">
        <x:v>46218</x:v>
      </x:c>
    </x:row>
    <x:row r="98">
      <x:c r="A98" s="82" t="str">
        <x:v>intel-core-i9-14900k</x:v>
      </x:c>
      <x:c r="B98" s="80" t="str">
        <x:v>Intel</x:v>
      </x:c>
      <x:c r="C98" s="80" t="str">
        <x:v>Core i9-14900K</x:v>
      </x:c>
      <x:c r="D98" s="80" t="str">
        <x:v>Intel Core i9-14900K</x:v>
      </x:c>
      <x:c r="E98" s="80"/>
      <x:c r="F98" s="80"/>
      <x:c r="G98" s="80"/>
      <x:c r="H98" s="80"/>
      <x:c r="I98" s="80" t="str">
        <x:v>Core i9-14900K</x:v>
      </x:c>
      <x:c r="J98" s="80" t="str">
        <x:v>research_required</x:v>
      </x:c>
      <x:c r="K98" s="80" t="str">
        <x:v>unrated</x:v>
      </x:c>
      <x:c r="L98" s="83" t="n">
        <x:v>46218</x:v>
      </x:c>
      <x:c r="M98" s="14" t="str">
        <x:v>公式仕様とPassMark性能値を登録。ASIN/JAN、国内リテール品、保証条件、独立レビューは要確認。</x:v>
      </x:c>
      <x:c r="N98" s="14"/>
      <x:c r="O98" s="14"/>
      <x:c r="P98" s="14" t="str">
        <x:v>型番識別子・国内保証・販売形態を未確認</x:v>
      </x:c>
      <x:c r="Q98" s="14" t="str">
        <x:v>PassMarkスコアは2026-07-15確認時点。掲載値は更新されるため価格判定時に再確認してください。</x:v>
      </x:c>
      <x:c r="R98" s="80" t="str">
        <x:v>FCLGA1700</x:v>
      </x:c>
      <x:c r="S98" s="84" t="n">
        <x:v>24</x:v>
      </x:c>
      <x:c r="T98" s="84" t="n">
        <x:v>32</x:v>
      </x:c>
      <x:c r="U98" s="80" t="str">
        <x:v>Raptor Lake Refresh</x:v>
      </x:c>
      <x:c r="V98" s="85" t="n">
        <x:v>6</x:v>
      </x:c>
      <x:c r="W98" s="85" t="n">
        <x:v>125</x:v>
      </x:c>
      <x:c r="X98" s="80"/>
      <x:c r="Y98" s="81" t="b">
        <x:v>0</x:v>
      </x:c>
      <x:c r="Z98" s="81" t="b">
        <x:v>1</x:v>
      </x:c>
      <x:c r="AA98" s="80" t="str">
        <x:v>high</x:v>
      </x:c>
      <x:c r="AB98" s="80"/>
      <x:c r="AC98" s="80"/>
      <x:c r="AD98" s="83" t="n">
        <x:v>45216</x:v>
      </x:c>
      <x:c r="AE98" s="80" t="str">
        <x:v>2023-10-17</x:v>
      </x:c>
      <x:c r="AF98" s="80" t="str">
        <x:v>exact</x:v>
      </x:c>
      <x:c r="AG98" s="80" t="str">
        <x:v>Core i9</x:v>
      </x:c>
      <x:c r="AH98" s="80" t="str">
        <x:v>14th Gen Core</x:v>
      </x:c>
      <x:c r="AI98" s="86" t="n">
        <x:v>8</x:v>
      </x:c>
      <x:c r="AJ98" s="86" t="n">
        <x:v>16</x:v>
      </x:c>
      <x:c r="AK98" s="86" t="n">
        <x:v>36</x:v>
      </x:c>
      <x:c r="AL98" s="86" t="n">
        <x:v>58292</x:v>
      </x:c>
      <x:c r="AM98" s="86" t="n">
        <x:v>4691</x:v>
      </x:c>
      <x:c r="AN98" s="83" t="n">
        <x:v>46218</x:v>
      </x:c>
    </x:row>
    <x:row r="99">
      <x:c r="A99" s="82" t="str">
        <x:v>intel-core-i9-14900kf</x:v>
      </x:c>
      <x:c r="B99" s="80" t="str">
        <x:v>Intel</x:v>
      </x:c>
      <x:c r="C99" s="80" t="str">
        <x:v>Core i9-14900KF</x:v>
      </x:c>
      <x:c r="D99" s="80" t="str">
        <x:v>Intel Core i9-14900KF</x:v>
      </x:c>
      <x:c r="E99" s="80"/>
      <x:c r="F99" s="80"/>
      <x:c r="G99" s="80"/>
      <x:c r="H99" s="80"/>
      <x:c r="I99" s="80" t="str">
        <x:v>Core i9-14900KF</x:v>
      </x:c>
      <x:c r="J99" s="80" t="str">
        <x:v>research_required</x:v>
      </x:c>
      <x:c r="K99" s="80" t="str">
        <x:v>unrated</x:v>
      </x:c>
      <x:c r="L99" s="83" t="n">
        <x:v>46218</x:v>
      </x:c>
      <x:c r="M99" s="14" t="str">
        <x:v>公式仕様とPassMark性能値を登録。ASIN/JAN、国内リテール品、保証条件、独立レビューは要確認。</x:v>
      </x:c>
      <x:c r="N99" s="14"/>
      <x:c r="O99" s="14"/>
      <x:c r="P99" s="14" t="str">
        <x:v>型番識別子・国内保証・販売形態を未確認</x:v>
      </x:c>
      <x:c r="Q99" s="14" t="str">
        <x:v>PassMarkスコアは2026-07-15確認時点。掲載値は更新されるため価格判定時に再確認してください。</x:v>
      </x:c>
      <x:c r="R99" s="80" t="str">
        <x:v>FCLGA1700</x:v>
      </x:c>
      <x:c r="S99" s="84" t="n">
        <x:v>24</x:v>
      </x:c>
      <x:c r="T99" s="84" t="n">
        <x:v>32</x:v>
      </x:c>
      <x:c r="U99" s="80" t="str">
        <x:v>Raptor Lake Refresh</x:v>
      </x:c>
      <x:c r="V99" s="85" t="n">
        <x:v>6</x:v>
      </x:c>
      <x:c r="W99" s="85" t="n">
        <x:v>125</x:v>
      </x:c>
      <x:c r="X99" s="80"/>
      <x:c r="Y99" s="81" t="b">
        <x:v>0</x:v>
      </x:c>
      <x:c r="Z99" s="81" t="b">
        <x:v>0</x:v>
      </x:c>
      <x:c r="AA99" s="80" t="str">
        <x:v>high</x:v>
      </x:c>
      <x:c r="AB99" s="80"/>
      <x:c r="AC99" s="80"/>
      <x:c r="AD99" s="83" t="n">
        <x:v>45216</x:v>
      </x:c>
      <x:c r="AE99" s="80" t="str">
        <x:v>2023-10-17</x:v>
      </x:c>
      <x:c r="AF99" s="80" t="str">
        <x:v>exact</x:v>
      </x:c>
      <x:c r="AG99" s="80" t="str">
        <x:v>Core i9</x:v>
      </x:c>
      <x:c r="AH99" s="80" t="str">
        <x:v>14th Gen Core</x:v>
      </x:c>
      <x:c r="AI99" s="86" t="n">
        <x:v>8</x:v>
      </x:c>
      <x:c r="AJ99" s="86" t="n">
        <x:v>16</x:v>
      </x:c>
      <x:c r="AK99" s="86" t="n">
        <x:v>36</x:v>
      </x:c>
      <x:c r="AL99" s="86" t="n">
        <x:v>58138</x:v>
      </x:c>
      <x:c r="AM99" s="86" t="n">
        <x:v>4690</x:v>
      </x:c>
      <x:c r="AN99" s="83" t="n">
        <x:v>46218</x:v>
      </x:c>
    </x:row>
    <x:row r="100">
      <x:c r="A100" s="82" t="str">
        <x:v>intel-core-i9-14900ks</x:v>
      </x:c>
      <x:c r="B100" s="80" t="str">
        <x:v>Intel</x:v>
      </x:c>
      <x:c r="C100" s="80" t="str">
        <x:v>Core i9-14900KS</x:v>
      </x:c>
      <x:c r="D100" s="80" t="str">
        <x:v>Intel Core i9-14900KS</x:v>
      </x:c>
      <x:c r="E100" s="80"/>
      <x:c r="F100" s="80"/>
      <x:c r="G100" s="80"/>
      <x:c r="H100" s="80"/>
      <x:c r="I100" s="80" t="str">
        <x:v>Core i9-14900KS</x:v>
      </x:c>
      <x:c r="J100" s="80" t="str">
        <x:v>research_required</x:v>
      </x:c>
      <x:c r="K100" s="80" t="str">
        <x:v>unrated</x:v>
      </x:c>
      <x:c r="L100" s="83" t="n">
        <x:v>46218</x:v>
      </x:c>
      <x:c r="M100" s="14" t="str">
        <x:v>公式仕様とPassMark性能値を登録。ASIN/JAN、国内リテール品、保証条件、独立レビューは要確認。</x:v>
      </x:c>
      <x:c r="N100" s="14"/>
      <x:c r="O100" s="14"/>
      <x:c r="P100" s="14" t="str">
        <x:v>型番識別子・国内保証・販売形態を未確認</x:v>
      </x:c>
      <x:c r="Q100" s="14" t="str">
        <x:v>PassMarkスコアは2026-07-15確認時点。掲載値は更新されるため価格判定時に再確認してください。</x:v>
      </x:c>
      <x:c r="R100" s="80" t="str">
        <x:v>FCLGA1700</x:v>
      </x:c>
      <x:c r="S100" s="84" t="n">
        <x:v>24</x:v>
      </x:c>
      <x:c r="T100" s="84" t="n">
        <x:v>32</x:v>
      </x:c>
      <x:c r="U100" s="80" t="str">
        <x:v>Raptor Lake Refresh</x:v>
      </x:c>
      <x:c r="V100" s="85"/>
      <x:c r="W100" s="85" t="n">
        <x:v>150</x:v>
      </x:c>
      <x:c r="X100" s="80"/>
      <x:c r="Y100" s="81" t="b">
        <x:v>0</x:v>
      </x:c>
      <x:c r="Z100" s="81" t="b">
        <x:v>1</x:v>
      </x:c>
      <x:c r="AA100" s="80" t="str">
        <x:v>high</x:v>
      </x:c>
      <x:c r="AB100" s="80"/>
      <x:c r="AC100" s="80"/>
      <x:c r="AD100" s="83" t="n">
        <x:v>45365</x:v>
      </x:c>
      <x:c r="AE100" s="80" t="str">
        <x:v>2024-03-14</x:v>
      </x:c>
      <x:c r="AF100" s="80" t="str">
        <x:v>exact</x:v>
      </x:c>
      <x:c r="AG100" s="80" t="str">
        <x:v>Core i9</x:v>
      </x:c>
      <x:c r="AH100" s="80" t="str">
        <x:v>14th Gen Core</x:v>
      </x:c>
      <x:c r="AI100" s="86" t="n">
        <x:v>8</x:v>
      </x:c>
      <x:c r="AJ100" s="86" t="n">
        <x:v>16</x:v>
      </x:c>
      <x:c r="AK100" s="86"/>
      <x:c r="AL100" s="86" t="n">
        <x:v>60005</x:v>
      </x:c>
      <x:c r="AM100" s="86" t="n">
        <x:v>4813</x:v>
      </x:c>
      <x:c r="AN100" s="83" t="n">
        <x:v>46218</x:v>
      </x:c>
    </x:row>
    <x:row r="101">
      <x:c r="A101" s="82" t="str">
        <x:v>intel-core-ultra-3-205</x:v>
      </x:c>
      <x:c r="B101" s="80" t="str">
        <x:v>Intel</x:v>
      </x:c>
      <x:c r="C101" s="80" t="str">
        <x:v>Core Ultra 3 205</x:v>
      </x:c>
      <x:c r="D101" s="80" t="str">
        <x:v>Intel Core Ultra 3 205</x:v>
      </x:c>
      <x:c r="E101" s="80"/>
      <x:c r="F101" s="80"/>
      <x:c r="G101" s="80"/>
      <x:c r="H101" s="80"/>
      <x:c r="I101" s="80" t="str">
        <x:v>Core Ultra 3 205</x:v>
      </x:c>
      <x:c r="J101" s="80" t="str">
        <x:v>research_required</x:v>
      </x:c>
      <x:c r="K101" s="80" t="str">
        <x:v>unrated</x:v>
      </x:c>
      <x:c r="L101" s="83" t="n">
        <x:v>46218</x:v>
      </x:c>
      <x:c r="M101" s="14" t="str">
        <x:v>公式仕様とPassMark性能値を登録。ASIN/JAN、国内リテール品、保証条件、独立レビューは要確認。</x:v>
      </x:c>
      <x:c r="N101" s="14"/>
      <x:c r="O101" s="14"/>
      <x:c r="P101" s="14" t="str">
        <x:v>型番識別子・国内保証・販売形態を未確認</x:v>
      </x:c>
      <x:c r="Q101" s="14" t="str">
        <x:v>PassMarkスコアは2026-07-15確認時点。掲載値は更新されるため価格判定時に再確認してください。</x:v>
      </x:c>
      <x:c r="R101" s="80" t="str">
        <x:v>FCLGA1851</x:v>
      </x:c>
      <x:c r="S101" s="84" t="n">
        <x:v>8</x:v>
      </x:c>
      <x:c r="T101" s="84" t="n">
        <x:v>12</x:v>
      </x:c>
      <x:c r="U101" s="80" t="str">
        <x:v>Arrow Lake</x:v>
      </x:c>
      <x:c r="V101" s="85"/>
      <x:c r="W101" s="85" t="n">
        <x:v>57</x:v>
      </x:c>
      <x:c r="X101" s="80"/>
      <x:c r="Y101" s="81" t="b">
        <x:v>0</x:v>
      </x:c>
      <x:c r="Z101" s="81" t="b">
        <x:v>1</x:v>
      </x:c>
      <x:c r="AA101" s="80" t="str">
        <x:v>low</x:v>
      </x:c>
      <x:c r="AB101" s="80"/>
      <x:c r="AC101" s="80"/>
      <x:c r="AD101" s="83"/>
      <x:c r="AE101" s="80" t="str">
        <x:v>Q1'25</x:v>
      </x:c>
      <x:c r="AF101" s="80" t="str">
        <x:v>quarter</x:v>
      </x:c>
      <x:c r="AG101" s="80" t="str">
        <x:v>Core Ultra 3</x:v>
      </x:c>
      <x:c r="AH101" s="80" t="str">
        <x:v>Core Ultra 200S</x:v>
      </x:c>
      <x:c r="AI101" s="86" t="n">
        <x:v>4</x:v>
      </x:c>
      <x:c r="AJ101" s="86" t="n">
        <x:v>4</x:v>
      </x:c>
      <x:c r="AK101" s="86"/>
      <x:c r="AL101" s="86" t="n">
        <x:v>26193</x:v>
      </x:c>
      <x:c r="AM101" s="86" t="n">
        <x:v>4579</x:v>
      </x:c>
      <x:c r="AN101" s="83" t="n">
        <x:v>46218</x:v>
      </x:c>
    </x:row>
    <x:row r="102">
      <x:c r="A102" s="82" t="str">
        <x:v>intel-core-ultra-5-225</x:v>
      </x:c>
      <x:c r="B102" s="80" t="str">
        <x:v>Intel</x:v>
      </x:c>
      <x:c r="C102" s="80" t="str">
        <x:v>Core Ultra 5 225</x:v>
      </x:c>
      <x:c r="D102" s="80" t="str">
        <x:v>Intel Core Ultra 5 225</x:v>
      </x:c>
      <x:c r="E102" s="80"/>
      <x:c r="F102" s="80"/>
      <x:c r="G102" s="80"/>
      <x:c r="H102" s="80"/>
      <x:c r="I102" s="80" t="str">
        <x:v>Core Ultra 5 225</x:v>
      </x:c>
      <x:c r="J102" s="80" t="str">
        <x:v>research_required</x:v>
      </x:c>
      <x:c r="K102" s="80" t="str">
        <x:v>unrated</x:v>
      </x:c>
      <x:c r="L102" s="83" t="n">
        <x:v>46218</x:v>
      </x:c>
      <x:c r="M102" s="14" t="str">
        <x:v>公式仕様とPassMark性能値を登録。ASIN/JAN、国内リテール品、保証条件、独立レビューは要確認。</x:v>
      </x:c>
      <x:c r="N102" s="14"/>
      <x:c r="O102" s="14"/>
      <x:c r="P102" s="14" t="str">
        <x:v>型番識別子・国内保証・販売形態を未確認</x:v>
      </x:c>
      <x:c r="Q102" s="14" t="str">
        <x:v>PassMarkスコアは2026-07-15確認時点。掲載値は更新されるため価格判定時に再確認してください。</x:v>
      </x:c>
      <x:c r="R102" s="80" t="str">
        <x:v>FCLGA1851</x:v>
      </x:c>
      <x:c r="S102" s="84" t="n">
        <x:v>10</x:v>
      </x:c>
      <x:c r="T102" s="84" t="n">
        <x:v>16</x:v>
      </x:c>
      <x:c r="U102" s="80" t="str">
        <x:v>Arrow Lake</x:v>
      </x:c>
      <x:c r="V102" s="85"/>
      <x:c r="W102" s="85" t="n">
        <x:v>65</x:v>
      </x:c>
      <x:c r="X102" s="80"/>
      <x:c r="Y102" s="81" t="b">
        <x:v>0</x:v>
      </x:c>
      <x:c r="Z102" s="81" t="b">
        <x:v>1</x:v>
      </x:c>
      <x:c r="AA102" s="80" t="str">
        <x:v>low</x:v>
      </x:c>
      <x:c r="AB102" s="80"/>
      <x:c r="AC102" s="80"/>
      <x:c r="AD102" s="83"/>
      <x:c r="AE102" s="80" t="str">
        <x:v>Q1'25</x:v>
      </x:c>
      <x:c r="AF102" s="80" t="str">
        <x:v>quarter</x:v>
      </x:c>
      <x:c r="AG102" s="80" t="str">
        <x:v>Core Ultra 5</x:v>
      </x:c>
      <x:c r="AH102" s="80" t="str">
        <x:v>Core Ultra 200S</x:v>
      </x:c>
      <x:c r="AI102" s="86" t="n">
        <x:v>6</x:v>
      </x:c>
      <x:c r="AJ102" s="86" t="n">
        <x:v>4</x:v>
      </x:c>
      <x:c r="AK102" s="86"/>
      <x:c r="AL102" s="86" t="n">
        <x:v>30508</x:v>
      </x:c>
      <x:c r="AM102" s="86" t="n">
        <x:v>4415</x:v>
      </x:c>
      <x:c r="AN102" s="83" t="n">
        <x:v>46218</x:v>
      </x:c>
    </x:row>
    <x:row r="103">
      <x:c r="A103" s="82" t="str">
        <x:v>intel-core-ultra-5-225f</x:v>
      </x:c>
      <x:c r="B103" s="80" t="str">
        <x:v>Intel</x:v>
      </x:c>
      <x:c r="C103" s="80" t="str">
        <x:v>Core Ultra 5 225F</x:v>
      </x:c>
      <x:c r="D103" s="80" t="str">
        <x:v>Intel Core Ultra 5 225F</x:v>
      </x:c>
      <x:c r="E103" s="80"/>
      <x:c r="F103" s="80"/>
      <x:c r="G103" s="80"/>
      <x:c r="H103" s="80"/>
      <x:c r="I103" s="80" t="str">
        <x:v>Core Ultra 5 225F</x:v>
      </x:c>
      <x:c r="J103" s="80" t="str">
        <x:v>research_required</x:v>
      </x:c>
      <x:c r="K103" s="80" t="str">
        <x:v>unrated</x:v>
      </x:c>
      <x:c r="L103" s="83" t="n">
        <x:v>46218</x:v>
      </x:c>
      <x:c r="M103" s="14" t="str">
        <x:v>公式仕様とPassMark性能値を登録。ASIN/JAN、国内リテール品、保証条件、独立レビューは要確認。</x:v>
      </x:c>
      <x:c r="N103" s="14"/>
      <x:c r="O103" s="14"/>
      <x:c r="P103" s="14" t="str">
        <x:v>型番識別子・国内保証・販売形態を未確認</x:v>
      </x:c>
      <x:c r="Q103" s="14" t="str">
        <x:v>PassMarkスコアは2026-07-15確認時点。掲載値は更新されるため価格判定時に再確認してください。</x:v>
      </x:c>
      <x:c r="R103" s="80" t="str">
        <x:v>FCLGA1851</x:v>
      </x:c>
      <x:c r="S103" s="84" t="n">
        <x:v>10</x:v>
      </x:c>
      <x:c r="T103" s="84" t="n">
        <x:v>16</x:v>
      </x:c>
      <x:c r="U103" s="80" t="str">
        <x:v>Arrow Lake</x:v>
      </x:c>
      <x:c r="V103" s="85"/>
      <x:c r="W103" s="85" t="n">
        <x:v>65</x:v>
      </x:c>
      <x:c r="X103" s="80"/>
      <x:c r="Y103" s="81" t="b">
        <x:v>0</x:v>
      </x:c>
      <x:c r="Z103" s="81" t="b">
        <x:v>0</x:v>
      </x:c>
      <x:c r="AA103" s="80" t="str">
        <x:v>low</x:v>
      </x:c>
      <x:c r="AB103" s="80"/>
      <x:c r="AC103" s="80"/>
      <x:c r="AD103" s="83"/>
      <x:c r="AE103" s="80" t="str">
        <x:v>Q1'25</x:v>
      </x:c>
      <x:c r="AF103" s="80" t="str">
        <x:v>quarter</x:v>
      </x:c>
      <x:c r="AG103" s="80" t="str">
        <x:v>Core Ultra 5</x:v>
      </x:c>
      <x:c r="AH103" s="80" t="str">
        <x:v>Core Ultra 200S</x:v>
      </x:c>
      <x:c r="AI103" s="86" t="n">
        <x:v>6</x:v>
      </x:c>
      <x:c r="AJ103" s="86" t="n">
        <x:v>4</x:v>
      </x:c>
      <x:c r="AK103" s="86"/>
      <x:c r="AL103" s="86" t="n">
        <x:v>31046</x:v>
      </x:c>
      <x:c r="AM103" s="86" t="n">
        <x:v>4399</x:v>
      </x:c>
      <x:c r="AN103" s="83" t="n">
        <x:v>46218</x:v>
      </x:c>
    </x:row>
    <x:row r="104">
      <x:c r="A104" s="82" t="str">
        <x:v>intel-core-ultra-5-235</x:v>
      </x:c>
      <x:c r="B104" s="80" t="str">
        <x:v>Intel</x:v>
      </x:c>
      <x:c r="C104" s="80" t="str">
        <x:v>Core Ultra 5 235</x:v>
      </x:c>
      <x:c r="D104" s="80" t="str">
        <x:v>Intel Core Ultra 5 235</x:v>
      </x:c>
      <x:c r="E104" s="80"/>
      <x:c r="F104" s="80"/>
      <x:c r="G104" s="80"/>
      <x:c r="H104" s="80"/>
      <x:c r="I104" s="80" t="str">
        <x:v>Core Ultra 5 235</x:v>
      </x:c>
      <x:c r="J104" s="80" t="str">
        <x:v>research_required</x:v>
      </x:c>
      <x:c r="K104" s="80" t="str">
        <x:v>unrated</x:v>
      </x:c>
      <x:c r="L104" s="83" t="n">
        <x:v>46218</x:v>
      </x:c>
      <x:c r="M104" s="14" t="str">
        <x:v>公式仕様とPassMark性能値を登録。ASIN/JAN、国内リテール品、保証条件、独立レビューは要確認。</x:v>
      </x:c>
      <x:c r="N104" s="14"/>
      <x:c r="O104" s="14"/>
      <x:c r="P104" s="14" t="str">
        <x:v>型番識別子・国内保証・販売形態を未確認</x:v>
      </x:c>
      <x:c r="Q104" s="14" t="str">
        <x:v>PassMarkスコアは2026-07-15確認時点。掲載値は更新されるため価格判定時に再確認してください。</x:v>
      </x:c>
      <x:c r="R104" s="80" t="str">
        <x:v>FCLGA1851</x:v>
      </x:c>
      <x:c r="S104" s="84" t="n">
        <x:v>14</x:v>
      </x:c>
      <x:c r="T104" s="84" t="n">
        <x:v>20</x:v>
      </x:c>
      <x:c r="U104" s="80" t="str">
        <x:v>Arrow Lake</x:v>
      </x:c>
      <x:c r="V104" s="85"/>
      <x:c r="W104" s="85" t="n">
        <x:v>65</x:v>
      </x:c>
      <x:c r="X104" s="80"/>
      <x:c r="Y104" s="81" t="b">
        <x:v>0</x:v>
      </x:c>
      <x:c r="Z104" s="81" t="b">
        <x:v>1</x:v>
      </x:c>
      <x:c r="AA104" s="80" t="str">
        <x:v>low</x:v>
      </x:c>
      <x:c r="AB104" s="80"/>
      <x:c r="AC104" s="80"/>
      <x:c r="AD104" s="83"/>
      <x:c r="AE104" s="80" t="str">
        <x:v>Q1'25</x:v>
      </x:c>
      <x:c r="AF104" s="80" t="str">
        <x:v>quarter</x:v>
      </x:c>
      <x:c r="AG104" s="80" t="str">
        <x:v>Core Ultra 5</x:v>
      </x:c>
      <x:c r="AH104" s="80" t="str">
        <x:v>Core Ultra 200S</x:v>
      </x:c>
      <x:c r="AI104" s="86" t="n">
        <x:v>6</x:v>
      </x:c>
      <x:c r="AJ104" s="86" t="n">
        <x:v>8</x:v>
      </x:c>
      <x:c r="AK104" s="86"/>
      <x:c r="AL104" s="86" t="n">
        <x:v>38124</x:v>
      </x:c>
      <x:c r="AM104" s="86" t="n">
        <x:v>4530</x:v>
      </x:c>
      <x:c r="AN104" s="83" t="n">
        <x:v>46218</x:v>
      </x:c>
    </x:row>
    <x:row r="105">
      <x:c r="A105" s="82" t="str">
        <x:v>intel-core-ultra-5-245</x:v>
      </x:c>
      <x:c r="B105" s="80" t="str">
        <x:v>Intel</x:v>
      </x:c>
      <x:c r="C105" s="80" t="str">
        <x:v>Core Ultra 5 245</x:v>
      </x:c>
      <x:c r="D105" s="80" t="str">
        <x:v>Intel Core Ultra 5 245</x:v>
      </x:c>
      <x:c r="E105" s="80"/>
      <x:c r="F105" s="80"/>
      <x:c r="G105" s="80"/>
      <x:c r="H105" s="80"/>
      <x:c r="I105" s="80" t="str">
        <x:v>Core Ultra 5 245</x:v>
      </x:c>
      <x:c r="J105" s="80" t="str">
        <x:v>research_required</x:v>
      </x:c>
      <x:c r="K105" s="80" t="str">
        <x:v>unrated</x:v>
      </x:c>
      <x:c r="L105" s="83" t="n">
        <x:v>46218</x:v>
      </x:c>
      <x:c r="M105" s="14" t="str">
        <x:v>公式仕様とPassMark性能値を登録。ASIN/JAN、国内リテール品、保証条件、独立レビューは要確認。</x:v>
      </x:c>
      <x:c r="N105" s="14"/>
      <x:c r="O105" s="14"/>
      <x:c r="P105" s="14" t="str">
        <x:v>型番識別子・国内保証・販売形態を未確認</x:v>
      </x:c>
      <x:c r="Q105" s="14" t="str">
        <x:v>PassMarkスコアは2026-07-15確認時点。掲載値は更新されるため価格判定時に再確認してください。</x:v>
      </x:c>
      <x:c r="R105" s="80" t="str">
        <x:v>FCLGA1851</x:v>
      </x:c>
      <x:c r="S105" s="84" t="n">
        <x:v>14</x:v>
      </x:c>
      <x:c r="T105" s="84" t="n">
        <x:v>20</x:v>
      </x:c>
      <x:c r="U105" s="80" t="str">
        <x:v>Arrow Lake</x:v>
      </x:c>
      <x:c r="V105" s="85"/>
      <x:c r="W105" s="85" t="n">
        <x:v>65</x:v>
      </x:c>
      <x:c r="X105" s="80"/>
      <x:c r="Y105" s="81" t="b">
        <x:v>0</x:v>
      </x:c>
      <x:c r="Z105" s="81" t="b">
        <x:v>1</x:v>
      </x:c>
      <x:c r="AA105" s="80" t="str">
        <x:v>low</x:v>
      </x:c>
      <x:c r="AB105" s="80"/>
      <x:c r="AC105" s="80"/>
      <x:c r="AD105" s="83"/>
      <x:c r="AE105" s="80" t="str">
        <x:v>Q1'25</x:v>
      </x:c>
      <x:c r="AF105" s="80" t="str">
        <x:v>quarter</x:v>
      </x:c>
      <x:c r="AG105" s="80" t="str">
        <x:v>Core Ultra 5</x:v>
      </x:c>
      <x:c r="AH105" s="80" t="str">
        <x:v>Core Ultra 200S</x:v>
      </x:c>
      <x:c r="AI105" s="86" t="n">
        <x:v>6</x:v>
      </x:c>
      <x:c r="AJ105" s="86" t="n">
        <x:v>8</x:v>
      </x:c>
      <x:c r="AK105" s="86"/>
      <x:c r="AL105" s="86" t="n">
        <x:v>38616</x:v>
      </x:c>
      <x:c r="AM105" s="86" t="n">
        <x:v>4380</x:v>
      </x:c>
      <x:c r="AN105" s="83" t="n">
        <x:v>46218</x:v>
      </x:c>
    </x:row>
    <x:row r="106">
      <x:c r="A106" s="82" t="str">
        <x:v>intel-core-ultra-5-245k</x:v>
      </x:c>
      <x:c r="B106" s="80" t="str">
        <x:v>Intel</x:v>
      </x:c>
      <x:c r="C106" s="80" t="str">
        <x:v>Core Ultra 5 245K</x:v>
      </x:c>
      <x:c r="D106" s="80" t="str">
        <x:v>Intel Core Ultra 5 245K</x:v>
      </x:c>
      <x:c r="E106" s="80"/>
      <x:c r="F106" s="80"/>
      <x:c r="G106" s="80"/>
      <x:c r="H106" s="80"/>
      <x:c r="I106" s="80" t="str">
        <x:v>Core Ultra 5 245K</x:v>
      </x:c>
      <x:c r="J106" s="80" t="str">
        <x:v>research_required</x:v>
      </x:c>
      <x:c r="K106" s="80" t="str">
        <x:v>unrated</x:v>
      </x:c>
      <x:c r="L106" s="83" t="n">
        <x:v>46218</x:v>
      </x:c>
      <x:c r="M106" s="14" t="str">
        <x:v>公式仕様とPassMark性能値を登録。ASIN/JAN、国内リテール品、保証条件、独立レビューは要確認。</x:v>
      </x:c>
      <x:c r="N106" s="14"/>
      <x:c r="O106" s="14"/>
      <x:c r="P106" s="14" t="str">
        <x:v>型番識別子・国内保証・販売形態を未確認</x:v>
      </x:c>
      <x:c r="Q106" s="14" t="str">
        <x:v>PassMarkスコアは2026-07-15確認時点。掲載値は更新されるため価格判定時に再確認してください。</x:v>
      </x:c>
      <x:c r="R106" s="80" t="str">
        <x:v>FCLGA1851</x:v>
      </x:c>
      <x:c r="S106" s="84" t="n">
        <x:v>14</x:v>
      </x:c>
      <x:c r="T106" s="84" t="n">
        <x:v>20</x:v>
      </x:c>
      <x:c r="U106" s="80" t="str">
        <x:v>Arrow Lake</x:v>
      </x:c>
      <x:c r="V106" s="85"/>
      <x:c r="W106" s="85" t="n">
        <x:v>125</x:v>
      </x:c>
      <x:c r="X106" s="80"/>
      <x:c r="Y106" s="81" t="b">
        <x:v>0</x:v>
      </x:c>
      <x:c r="Z106" s="81" t="b">
        <x:v>1</x:v>
      </x:c>
      <x:c r="AA106" s="80" t="str">
        <x:v>high</x:v>
      </x:c>
      <x:c r="AB106" s="80"/>
      <x:c r="AC106" s="80"/>
      <x:c r="AD106" s="83" t="n">
        <x:v>45589</x:v>
      </x:c>
      <x:c r="AE106" s="80" t="str">
        <x:v>2024-10-24</x:v>
      </x:c>
      <x:c r="AF106" s="80" t="str">
        <x:v>exact</x:v>
      </x:c>
      <x:c r="AG106" s="80" t="str">
        <x:v>Core Ultra 5</x:v>
      </x:c>
      <x:c r="AH106" s="80" t="str">
        <x:v>Core Ultra 200S</x:v>
      </x:c>
      <x:c r="AI106" s="86" t="n">
        <x:v>6</x:v>
      </x:c>
      <x:c r="AJ106" s="86" t="n">
        <x:v>8</x:v>
      </x:c>
      <x:c r="AK106" s="86"/>
      <x:c r="AL106" s="86" t="n">
        <x:v>43109</x:v>
      </x:c>
      <x:c r="AM106" s="86" t="n">
        <x:v>4718</x:v>
      </x:c>
      <x:c r="AN106" s="83" t="n">
        <x:v>46218</x:v>
      </x:c>
    </x:row>
    <x:row r="107">
      <x:c r="A107" s="82" t="str">
        <x:v>intel-core-ultra-5-245kf</x:v>
      </x:c>
      <x:c r="B107" s="80" t="str">
        <x:v>Intel</x:v>
      </x:c>
      <x:c r="C107" s="80" t="str">
        <x:v>Core Ultra 5 245KF</x:v>
      </x:c>
      <x:c r="D107" s="80" t="str">
        <x:v>Intel Core Ultra 5 245KF</x:v>
      </x:c>
      <x:c r="E107" s="80"/>
      <x:c r="F107" s="80"/>
      <x:c r="G107" s="80"/>
      <x:c r="H107" s="80"/>
      <x:c r="I107" s="80" t="str">
        <x:v>Core Ultra 5 245KF</x:v>
      </x:c>
      <x:c r="J107" s="80" t="str">
        <x:v>research_required</x:v>
      </x:c>
      <x:c r="K107" s="80" t="str">
        <x:v>unrated</x:v>
      </x:c>
      <x:c r="L107" s="83" t="n">
        <x:v>46218</x:v>
      </x:c>
      <x:c r="M107" s="14" t="str">
        <x:v>公式仕様とPassMark性能値を登録。ASIN/JAN、国内リテール品、保証条件、独立レビューは要確認。</x:v>
      </x:c>
      <x:c r="N107" s="14"/>
      <x:c r="O107" s="14"/>
      <x:c r="P107" s="14" t="str">
        <x:v>型番識別子・国内保証・販売形態を未確認</x:v>
      </x:c>
      <x:c r="Q107" s="14" t="str">
        <x:v>PassMarkスコアは2026-07-15確認時点。掲載値は更新されるため価格判定時に再確認してください。</x:v>
      </x:c>
      <x:c r="R107" s="80" t="str">
        <x:v>FCLGA1851</x:v>
      </x:c>
      <x:c r="S107" s="84" t="n">
        <x:v>14</x:v>
      </x:c>
      <x:c r="T107" s="84" t="n">
        <x:v>20</x:v>
      </x:c>
      <x:c r="U107" s="80" t="str">
        <x:v>Arrow Lake</x:v>
      </x:c>
      <x:c r="V107" s="85"/>
      <x:c r="W107" s="85" t="n">
        <x:v>125</x:v>
      </x:c>
      <x:c r="X107" s="80"/>
      <x:c r="Y107" s="81" t="b">
        <x:v>0</x:v>
      </x:c>
      <x:c r="Z107" s="81" t="b">
        <x:v>0</x:v>
      </x:c>
      <x:c r="AA107" s="80" t="str">
        <x:v>high</x:v>
      </x:c>
      <x:c r="AB107" s="80"/>
      <x:c r="AC107" s="80"/>
      <x:c r="AD107" s="83" t="n">
        <x:v>45589</x:v>
      </x:c>
      <x:c r="AE107" s="80" t="str">
        <x:v>2024-10-24</x:v>
      </x:c>
      <x:c r="AF107" s="80" t="str">
        <x:v>exact</x:v>
      </x:c>
      <x:c r="AG107" s="80" t="str">
        <x:v>Core Ultra 5</x:v>
      </x:c>
      <x:c r="AH107" s="80" t="str">
        <x:v>Core Ultra 200S</x:v>
      </x:c>
      <x:c r="AI107" s="86" t="n">
        <x:v>6</x:v>
      </x:c>
      <x:c r="AJ107" s="86" t="n">
        <x:v>8</x:v>
      </x:c>
      <x:c r="AK107" s="86"/>
      <x:c r="AL107" s="86" t="n">
        <x:v>43103</x:v>
      </x:c>
      <x:c r="AM107" s="86" t="n">
        <x:v>4714</x:v>
      </x:c>
      <x:c r="AN107" s="83" t="n">
        <x:v>46218</x:v>
      </x:c>
    </x:row>
    <x:row r="108">
      <x:c r="A108" s="82" t="str">
        <x:v>intel-core-ultra-7-265</x:v>
      </x:c>
      <x:c r="B108" s="80" t="str">
        <x:v>Intel</x:v>
      </x:c>
      <x:c r="C108" s="80" t="str">
        <x:v>Core Ultra 7 265</x:v>
      </x:c>
      <x:c r="D108" s="80" t="str">
        <x:v>Intel Core Ultra 7 265</x:v>
      </x:c>
      <x:c r="E108" s="80"/>
      <x:c r="F108" s="80"/>
      <x:c r="G108" s="80"/>
      <x:c r="H108" s="80"/>
      <x:c r="I108" s="80" t="str">
        <x:v>Core Ultra 7 265</x:v>
      </x:c>
      <x:c r="J108" s="80" t="str">
        <x:v>research_required</x:v>
      </x:c>
      <x:c r="K108" s="80" t="str">
        <x:v>unrated</x:v>
      </x:c>
      <x:c r="L108" s="83" t="n">
        <x:v>46218</x:v>
      </x:c>
      <x:c r="M108" s="14" t="str">
        <x:v>公式仕様とPassMark性能値を登録。ASIN/JAN、国内リテール品、保証条件、独立レビューは要確認。</x:v>
      </x:c>
      <x:c r="N108" s="14"/>
      <x:c r="O108" s="14"/>
      <x:c r="P108" s="14" t="str">
        <x:v>型番識別子・国内保証・販売形態を未確認</x:v>
      </x:c>
      <x:c r="Q108" s="14" t="str">
        <x:v>PassMarkスコアは2026-07-15確認時点。掲載値は更新されるため価格判定時に再確認してください。</x:v>
      </x:c>
      <x:c r="R108" s="80" t="str">
        <x:v>FCLGA1851</x:v>
      </x:c>
      <x:c r="S108" s="84" t="n">
        <x:v>20</x:v>
      </x:c>
      <x:c r="T108" s="84" t="n">
        <x:v>28</x:v>
      </x:c>
      <x:c r="U108" s="80" t="str">
        <x:v>Arrow Lake</x:v>
      </x:c>
      <x:c r="V108" s="85"/>
      <x:c r="W108" s="85" t="n">
        <x:v>65</x:v>
      </x:c>
      <x:c r="X108" s="80"/>
      <x:c r="Y108" s="81" t="b">
        <x:v>0</x:v>
      </x:c>
      <x:c r="Z108" s="81" t="b">
        <x:v>1</x:v>
      </x:c>
      <x:c r="AA108" s="80" t="str">
        <x:v>low</x:v>
      </x:c>
      <x:c r="AB108" s="80"/>
      <x:c r="AC108" s="80"/>
      <x:c r="AD108" s="83"/>
      <x:c r="AE108" s="80" t="str">
        <x:v>Q1'25</x:v>
      </x:c>
      <x:c r="AF108" s="80" t="str">
        <x:v>quarter</x:v>
      </x:c>
      <x:c r="AG108" s="80" t="str">
        <x:v>Core Ultra 7</x:v>
      </x:c>
      <x:c r="AH108" s="80" t="str">
        <x:v>Core Ultra 200S</x:v>
      </x:c>
      <x:c r="AI108" s="86" t="n">
        <x:v>8</x:v>
      </x:c>
      <x:c r="AJ108" s="86" t="n">
        <x:v>12</x:v>
      </x:c>
      <x:c r="AK108" s="86"/>
      <x:c r="AL108" s="86" t="n">
        <x:v>49696</x:v>
      </x:c>
      <x:c r="AM108" s="86" t="n">
        <x:v>4690</x:v>
      </x:c>
      <x:c r="AN108" s="83" t="n">
        <x:v>46218</x:v>
      </x:c>
    </x:row>
    <x:row r="109">
      <x:c r="A109" s="82" t="str">
        <x:v>intel-core-ultra-7-265f</x:v>
      </x:c>
      <x:c r="B109" s="80" t="str">
        <x:v>Intel</x:v>
      </x:c>
      <x:c r="C109" s="80" t="str">
        <x:v>Core Ultra 7 265F</x:v>
      </x:c>
      <x:c r="D109" s="80" t="str">
        <x:v>Intel Core Ultra 7 265F</x:v>
      </x:c>
      <x:c r="E109" s="80"/>
      <x:c r="F109" s="80"/>
      <x:c r="G109" s="80"/>
      <x:c r="H109" s="80"/>
      <x:c r="I109" s="80" t="str">
        <x:v>Core Ultra 7 265F</x:v>
      </x:c>
      <x:c r="J109" s="80" t="str">
        <x:v>research_required</x:v>
      </x:c>
      <x:c r="K109" s="80" t="str">
        <x:v>unrated</x:v>
      </x:c>
      <x:c r="L109" s="83" t="n">
        <x:v>46218</x:v>
      </x:c>
      <x:c r="M109" s="14" t="str">
        <x:v>公式仕様とPassMark性能値を登録。ASIN/JAN、国内リテール品、保証条件、独立レビューは要確認。</x:v>
      </x:c>
      <x:c r="N109" s="14"/>
      <x:c r="O109" s="14"/>
      <x:c r="P109" s="14" t="str">
        <x:v>型番識別子・国内保証・販売形態を未確認</x:v>
      </x:c>
      <x:c r="Q109" s="14" t="str">
        <x:v>PassMarkスコアは2026-07-15確認時点。掲載値は更新されるため価格判定時に再確認してください。</x:v>
      </x:c>
      <x:c r="R109" s="80" t="str">
        <x:v>FCLGA1851</x:v>
      </x:c>
      <x:c r="S109" s="84" t="n">
        <x:v>20</x:v>
      </x:c>
      <x:c r="T109" s="84" t="n">
        <x:v>28</x:v>
      </x:c>
      <x:c r="U109" s="80" t="str">
        <x:v>Arrow Lake</x:v>
      </x:c>
      <x:c r="V109" s="85"/>
      <x:c r="W109" s="85" t="n">
        <x:v>65</x:v>
      </x:c>
      <x:c r="X109" s="80"/>
      <x:c r="Y109" s="81" t="b">
        <x:v>0</x:v>
      </x:c>
      <x:c r="Z109" s="81" t="b">
        <x:v>0</x:v>
      </x:c>
      <x:c r="AA109" s="80" t="str">
        <x:v>low</x:v>
      </x:c>
      <x:c r="AB109" s="80"/>
      <x:c r="AC109" s="80"/>
      <x:c r="AD109" s="83"/>
      <x:c r="AE109" s="80" t="str">
        <x:v>Q1'25</x:v>
      </x:c>
      <x:c r="AF109" s="80" t="str">
        <x:v>quarter</x:v>
      </x:c>
      <x:c r="AG109" s="80" t="str">
        <x:v>Core Ultra 7</x:v>
      </x:c>
      <x:c r="AH109" s="80" t="str">
        <x:v>Core Ultra 200S</x:v>
      </x:c>
      <x:c r="AI109" s="86" t="n">
        <x:v>8</x:v>
      </x:c>
      <x:c r="AJ109" s="86" t="n">
        <x:v>12</x:v>
      </x:c>
      <x:c r="AK109" s="86"/>
      <x:c r="AL109" s="86" t="n">
        <x:v>49354</x:v>
      </x:c>
      <x:c r="AM109" s="86" t="n">
        <x:v>4748</x:v>
      </x:c>
      <x:c r="AN109" s="83" t="n">
        <x:v>46218</x:v>
      </x:c>
    </x:row>
    <x:row r="110">
      <x:c r="A110" s="82" t="str">
        <x:v>intel-core-ultra-7-265k</x:v>
      </x:c>
      <x:c r="B110" s="80" t="str">
        <x:v>Intel</x:v>
      </x:c>
      <x:c r="C110" s="80" t="str">
        <x:v>Core Ultra 7 265K</x:v>
      </x:c>
      <x:c r="D110" s="80" t="str">
        <x:v>Intel Core Ultra 7 265K</x:v>
      </x:c>
      <x:c r="E110" s="80"/>
      <x:c r="F110" s="80"/>
      <x:c r="G110" s="80"/>
      <x:c r="H110" s="80"/>
      <x:c r="I110" s="80" t="str">
        <x:v>Core Ultra 7 265K</x:v>
      </x:c>
      <x:c r="J110" s="80" t="str">
        <x:v>research_required</x:v>
      </x:c>
      <x:c r="K110" s="80" t="str">
        <x:v>unrated</x:v>
      </x:c>
      <x:c r="L110" s="83" t="n">
        <x:v>46218</x:v>
      </x:c>
      <x:c r="M110" s="14" t="str">
        <x:v>公式仕様とPassMark性能値を登録。ASIN/JAN、国内リテール品、保証条件、独立レビューは要確認。</x:v>
      </x:c>
      <x:c r="N110" s="14"/>
      <x:c r="O110" s="14"/>
      <x:c r="P110" s="14" t="str">
        <x:v>型番識別子・国内保証・販売形態を未確認</x:v>
      </x:c>
      <x:c r="Q110" s="14" t="str">
        <x:v>PassMarkスコアは2026-07-15確認時点。掲載値は更新されるため価格判定時に再確認してください。</x:v>
      </x:c>
      <x:c r="R110" s="80" t="str">
        <x:v>FCLGA1851</x:v>
      </x:c>
      <x:c r="S110" s="84" t="n">
        <x:v>20</x:v>
      </x:c>
      <x:c r="T110" s="84" t="n">
        <x:v>28</x:v>
      </x:c>
      <x:c r="U110" s="80" t="str">
        <x:v>Arrow Lake</x:v>
      </x:c>
      <x:c r="V110" s="85"/>
      <x:c r="W110" s="85" t="n">
        <x:v>125</x:v>
      </x:c>
      <x:c r="X110" s="80"/>
      <x:c r="Y110" s="81" t="b">
        <x:v>0</x:v>
      </x:c>
      <x:c r="Z110" s="81" t="b">
        <x:v>1</x:v>
      </x:c>
      <x:c r="AA110" s="80" t="str">
        <x:v>high</x:v>
      </x:c>
      <x:c r="AB110" s="80"/>
      <x:c r="AC110" s="80"/>
      <x:c r="AD110" s="83" t="n">
        <x:v>45589</x:v>
      </x:c>
      <x:c r="AE110" s="80" t="str">
        <x:v>2024-10-24</x:v>
      </x:c>
      <x:c r="AF110" s="80" t="str">
        <x:v>exact</x:v>
      </x:c>
      <x:c r="AG110" s="80" t="str">
        <x:v>Core Ultra 7</x:v>
      </x:c>
      <x:c r="AH110" s="80" t="str">
        <x:v>Core Ultra 200S</x:v>
      </x:c>
      <x:c r="AI110" s="86" t="n">
        <x:v>8</x:v>
      </x:c>
      <x:c r="AJ110" s="86" t="n">
        <x:v>12</x:v>
      </x:c>
      <x:c r="AK110" s="86"/>
      <x:c r="AL110" s="86" t="n">
        <x:v>58603</x:v>
      </x:c>
      <x:c r="AM110" s="86" t="n">
        <x:v>4928</x:v>
      </x:c>
      <x:c r="AN110" s="83" t="n">
        <x:v>46218</x:v>
      </x:c>
    </x:row>
    <x:row r="111">
      <x:c r="A111" s="82" t="str">
        <x:v>intel-core-ultra-7-265kf</x:v>
      </x:c>
      <x:c r="B111" s="80" t="str">
        <x:v>Intel</x:v>
      </x:c>
      <x:c r="C111" s="80" t="str">
        <x:v>Core Ultra 7 265KF</x:v>
      </x:c>
      <x:c r="D111" s="80" t="str">
        <x:v>Intel Core Ultra 7 265KF</x:v>
      </x:c>
      <x:c r="E111" s="80"/>
      <x:c r="F111" s="80"/>
      <x:c r="G111" s="80"/>
      <x:c r="H111" s="80"/>
      <x:c r="I111" s="80" t="str">
        <x:v>Core Ultra 7 265KF</x:v>
      </x:c>
      <x:c r="J111" s="80" t="str">
        <x:v>research_required</x:v>
      </x:c>
      <x:c r="K111" s="80" t="str">
        <x:v>unrated</x:v>
      </x:c>
      <x:c r="L111" s="83" t="n">
        <x:v>46218</x:v>
      </x:c>
      <x:c r="M111" s="14" t="str">
        <x:v>公式仕様とPassMark性能値を登録。ASIN/JAN、国内リテール品、保証条件、独立レビューは要確認。</x:v>
      </x:c>
      <x:c r="N111" s="14"/>
      <x:c r="O111" s="14"/>
      <x:c r="P111" s="14" t="str">
        <x:v>型番識別子・国内保証・販売形態を未確認</x:v>
      </x:c>
      <x:c r="Q111" s="14" t="str">
        <x:v>PassMarkスコアは2026-07-15確認時点。掲載値は更新されるため価格判定時に再確認してください。</x:v>
      </x:c>
      <x:c r="R111" s="80" t="str">
        <x:v>FCLGA1851</x:v>
      </x:c>
      <x:c r="S111" s="84" t="n">
        <x:v>20</x:v>
      </x:c>
      <x:c r="T111" s="84" t="n">
        <x:v>28</x:v>
      </x:c>
      <x:c r="U111" s="80" t="str">
        <x:v>Arrow Lake</x:v>
      </x:c>
      <x:c r="V111" s="85"/>
      <x:c r="W111" s="85" t="n">
        <x:v>125</x:v>
      </x:c>
      <x:c r="X111" s="80"/>
      <x:c r="Y111" s="81" t="b">
        <x:v>0</x:v>
      </x:c>
      <x:c r="Z111" s="81" t="b">
        <x:v>0</x:v>
      </x:c>
      <x:c r="AA111" s="80" t="str">
        <x:v>high</x:v>
      </x:c>
      <x:c r="AB111" s="80"/>
      <x:c r="AC111" s="80"/>
      <x:c r="AD111" s="83" t="n">
        <x:v>45589</x:v>
      </x:c>
      <x:c r="AE111" s="80" t="str">
        <x:v>2024-10-24</x:v>
      </x:c>
      <x:c r="AF111" s="80" t="str">
        <x:v>exact</x:v>
      </x:c>
      <x:c r="AG111" s="80" t="str">
        <x:v>Core Ultra 7</x:v>
      </x:c>
      <x:c r="AH111" s="80" t="str">
        <x:v>Core Ultra 200S</x:v>
      </x:c>
      <x:c r="AI111" s="86" t="n">
        <x:v>8</x:v>
      </x:c>
      <x:c r="AJ111" s="86" t="n">
        <x:v>12</x:v>
      </x:c>
      <x:c r="AK111" s="86"/>
      <x:c r="AL111" s="86" t="n">
        <x:v>58538</x:v>
      </x:c>
      <x:c r="AM111" s="86" t="n">
        <x:v>4927</x:v>
      </x:c>
      <x:c r="AN111" s="83" t="n">
        <x:v>46218</x:v>
      </x:c>
    </x:row>
    <x:row r="112">
      <x:c r="A112" s="82" t="str">
        <x:v>intel-core-ultra-9-285</x:v>
      </x:c>
      <x:c r="B112" s="80" t="str">
        <x:v>Intel</x:v>
      </x:c>
      <x:c r="C112" s="80" t="str">
        <x:v>Core Ultra 9 285</x:v>
      </x:c>
      <x:c r="D112" s="80" t="str">
        <x:v>Intel Core Ultra 9 285</x:v>
      </x:c>
      <x:c r="E112" s="80"/>
      <x:c r="F112" s="80"/>
      <x:c r="G112" s="80"/>
      <x:c r="H112" s="80"/>
      <x:c r="I112" s="80" t="str">
        <x:v>Core Ultra 9 285</x:v>
      </x:c>
      <x:c r="J112" s="80" t="str">
        <x:v>research_required</x:v>
      </x:c>
      <x:c r="K112" s="80" t="str">
        <x:v>unrated</x:v>
      </x:c>
      <x:c r="L112" s="83" t="n">
        <x:v>46218</x:v>
      </x:c>
      <x:c r="M112" s="14" t="str">
        <x:v>公式仕様とPassMark性能値を登録。ASIN/JAN、国内リテール品、保証条件、独立レビューは要確認。</x:v>
      </x:c>
      <x:c r="N112" s="14"/>
      <x:c r="O112" s="14"/>
      <x:c r="P112" s="14" t="str">
        <x:v>型番識別子・国内保証・販売形態を未確認</x:v>
      </x:c>
      <x:c r="Q112" s="14" t="str">
        <x:v>PassMarkスコアは2026-07-15確認時点。掲載値は更新されるため価格判定時に再確認してください。</x:v>
      </x:c>
      <x:c r="R112" s="80" t="str">
        <x:v>FCLGA1851</x:v>
      </x:c>
      <x:c r="S112" s="84" t="n">
        <x:v>24</x:v>
      </x:c>
      <x:c r="T112" s="84" t="n">
        <x:v>32</x:v>
      </x:c>
      <x:c r="U112" s="80" t="str">
        <x:v>Arrow Lake</x:v>
      </x:c>
      <x:c r="V112" s="85"/>
      <x:c r="W112" s="85" t="n">
        <x:v>65</x:v>
      </x:c>
      <x:c r="X112" s="80"/>
      <x:c r="Y112" s="81" t="b">
        <x:v>0</x:v>
      </x:c>
      <x:c r="Z112" s="81" t="b">
        <x:v>1</x:v>
      </x:c>
      <x:c r="AA112" s="80" t="str">
        <x:v>low</x:v>
      </x:c>
      <x:c r="AB112" s="80"/>
      <x:c r="AC112" s="80"/>
      <x:c r="AD112" s="83"/>
      <x:c r="AE112" s="80" t="str">
        <x:v>Q1'25</x:v>
      </x:c>
      <x:c r="AF112" s="80" t="str">
        <x:v>quarter</x:v>
      </x:c>
      <x:c r="AG112" s="80" t="str">
        <x:v>Core Ultra 9</x:v>
      </x:c>
      <x:c r="AH112" s="80" t="str">
        <x:v>Core Ultra 200S</x:v>
      </x:c>
      <x:c r="AI112" s="86" t="n">
        <x:v>8</x:v>
      </x:c>
      <x:c r="AJ112" s="86" t="n">
        <x:v>16</x:v>
      </x:c>
      <x:c r="AK112" s="86"/>
      <x:c r="AL112" s="86" t="n">
        <x:v>57535</x:v>
      </x:c>
      <x:c r="AM112" s="86" t="n">
        <x:v>4898</x:v>
      </x:c>
      <x:c r="AN112" s="83" t="n">
        <x:v>46218</x:v>
      </x:c>
    </x:row>
    <x:row r="113">
      <x:c r="A113" s="82" t="str">
        <x:v>intel-core-ultra-9-285k</x:v>
      </x:c>
      <x:c r="B113" s="80" t="str">
        <x:v>Intel</x:v>
      </x:c>
      <x:c r="C113" s="80" t="str">
        <x:v>Core Ultra 9 285K</x:v>
      </x:c>
      <x:c r="D113" s="80" t="str">
        <x:v>Intel Core Ultra 9 285K</x:v>
      </x:c>
      <x:c r="E113" s="80"/>
      <x:c r="F113" s="80"/>
      <x:c r="G113" s="80"/>
      <x:c r="H113" s="80"/>
      <x:c r="I113" s="80" t="str">
        <x:v>Core Ultra 9 285K</x:v>
      </x:c>
      <x:c r="J113" s="80" t="str">
        <x:v>research_required</x:v>
      </x:c>
      <x:c r="K113" s="80" t="str">
        <x:v>unrated</x:v>
      </x:c>
      <x:c r="L113" s="83" t="n">
        <x:v>46218</x:v>
      </x:c>
      <x:c r="M113" s="14" t="str">
        <x:v>公式仕様とPassMark性能値を登録。ASIN/JAN、国内リテール品、保証条件、独立レビューは要確認。</x:v>
      </x:c>
      <x:c r="N113" s="14"/>
      <x:c r="O113" s="14"/>
      <x:c r="P113" s="14" t="str">
        <x:v>型番識別子・国内保証・販売形態を未確認</x:v>
      </x:c>
      <x:c r="Q113" s="14" t="str">
        <x:v>PassMarkスコアは2026-07-15確認時点。掲載値は更新されるため価格判定時に再確認してください。</x:v>
      </x:c>
      <x:c r="R113" s="80" t="str">
        <x:v>FCLGA1851</x:v>
      </x:c>
      <x:c r="S113" s="84" t="n">
        <x:v>24</x:v>
      </x:c>
      <x:c r="T113" s="84" t="n">
        <x:v>32</x:v>
      </x:c>
      <x:c r="U113" s="80" t="str">
        <x:v>Arrow Lake</x:v>
      </x:c>
      <x:c r="V113" s="85"/>
      <x:c r="W113" s="85" t="n">
        <x:v>125</x:v>
      </x:c>
      <x:c r="X113" s="80"/>
      <x:c r="Y113" s="81" t="b">
        <x:v>0</x:v>
      </x:c>
      <x:c r="Z113" s="81" t="b">
        <x:v>1</x:v>
      </x:c>
      <x:c r="AA113" s="80" t="str">
        <x:v>high</x:v>
      </x:c>
      <x:c r="AB113" s="80"/>
      <x:c r="AC113" s="80"/>
      <x:c r="AD113" s="83" t="n">
        <x:v>45589</x:v>
      </x:c>
      <x:c r="AE113" s="80" t="str">
        <x:v>2024-10-24</x:v>
      </x:c>
      <x:c r="AF113" s="80" t="str">
        <x:v>exact</x:v>
      </x:c>
      <x:c r="AG113" s="80" t="str">
        <x:v>Core Ultra 9</x:v>
      </x:c>
      <x:c r="AH113" s="80" t="str">
        <x:v>Core Ultra 200S</x:v>
      </x:c>
      <x:c r="AI113" s="86" t="n">
        <x:v>8</x:v>
      </x:c>
      <x:c r="AJ113" s="86" t="n">
        <x:v>16</x:v>
      </x:c>
      <x:c r="AK113" s="86"/>
      <x:c r="AL113" s="86" t="n">
        <x:v>67252</x:v>
      </x:c>
      <x:c r="AM113" s="86" t="n">
        <x:v>5087</x:v>
      </x:c>
      <x:c r="AN113" s="83" t="n">
        <x:v>46218</x:v>
      </x:c>
    </x:row>
    <x:row r="114">
      <x:c r="A114" s="82" t="str">
        <x:v>intel-core-ultra-5-250k-plus</x:v>
      </x:c>
      <x:c r="B114" s="80" t="str">
        <x:v>Intel</x:v>
      </x:c>
      <x:c r="C114" s="80" t="str">
        <x:v>Core Ultra 5 250K Plus</x:v>
      </x:c>
      <x:c r="D114" s="80" t="str">
        <x:v>Intel Core Ultra 5 250K Plus</x:v>
      </x:c>
      <x:c r="E114" s="80"/>
      <x:c r="F114" s="80"/>
      <x:c r="G114" s="80"/>
      <x:c r="H114" s="80"/>
      <x:c r="I114" s="80" t="str">
        <x:v>Core Ultra 5 250K Plus</x:v>
      </x:c>
      <x:c r="J114" s="80" t="str">
        <x:v>research_required</x:v>
      </x:c>
      <x:c r="K114" s="80" t="str">
        <x:v>unrated</x:v>
      </x:c>
      <x:c r="L114" s="83" t="n">
        <x:v>46218</x:v>
      </x:c>
      <x:c r="M114" s="14" t="str">
        <x:v>公式仕様とPassMark性能値を登録。ASIN/JAN、国内リテール品、保証条件、独立レビューは要確認。</x:v>
      </x:c>
      <x:c r="N114" s="14"/>
      <x:c r="O114" s="14"/>
      <x:c r="P114" s="14" t="str">
        <x:v>型番識別子・国内保証・販売形態を未確認</x:v>
      </x:c>
      <x:c r="Q114" s="14" t="str">
        <x:v>PassMarkスコアは2026-07-15確認時点。掲載値は更新されるため価格判定時に再確認してください。</x:v>
      </x:c>
      <x:c r="R114" s="80" t="str">
        <x:v>FCLGA1851</x:v>
      </x:c>
      <x:c r="S114" s="84" t="n">
        <x:v>18</x:v>
      </x:c>
      <x:c r="T114" s="84" t="n">
        <x:v>24</x:v>
      </x:c>
      <x:c r="U114" s="80" t="str">
        <x:v>Arrow Lake</x:v>
      </x:c>
      <x:c r="V114" s="85"/>
      <x:c r="W114" s="85" t="n">
        <x:v>125</x:v>
      </x:c>
      <x:c r="X114" s="80"/>
      <x:c r="Y114" s="81" t="b">
        <x:v>0</x:v>
      </x:c>
      <x:c r="Z114" s="81" t="b">
        <x:v>1</x:v>
      </x:c>
      <x:c r="AA114" s="80" t="str">
        <x:v>high</x:v>
      </x:c>
      <x:c r="AB114" s="80"/>
      <x:c r="AC114" s="80"/>
      <x:c r="AD114" s="83" t="n">
        <x:v>46107</x:v>
      </x:c>
      <x:c r="AE114" s="80" t="str">
        <x:v>2026-03-26</x:v>
      </x:c>
      <x:c r="AF114" s="80" t="str">
        <x:v>exact</x:v>
      </x:c>
      <x:c r="AG114" s="80" t="str">
        <x:v>Core Ultra 5</x:v>
      </x:c>
      <x:c r="AH114" s="80" t="str">
        <x:v>Core Ultra 200S Plus</x:v>
      </x:c>
      <x:c r="AI114" s="86" t="n">
        <x:v>6</x:v>
      </x:c>
      <x:c r="AJ114" s="86" t="n">
        <x:v>12</x:v>
      </x:c>
      <x:c r="AK114" s="86"/>
      <x:c r="AL114" s="86" t="n">
        <x:v>52314</x:v>
      </x:c>
      <x:c r="AM114" s="86" t="n">
        <x:v>4831</x:v>
      </x:c>
      <x:c r="AN114" s="83" t="n">
        <x:v>46218</x:v>
      </x:c>
    </x:row>
    <x:row r="115">
      <x:c r="A115" s="82" t="str">
        <x:v>intel-core-ultra-5-250kf-plus</x:v>
      </x:c>
      <x:c r="B115" s="80" t="str">
        <x:v>Intel</x:v>
      </x:c>
      <x:c r="C115" s="80" t="str">
        <x:v>Core Ultra 5 250KF Plus</x:v>
      </x:c>
      <x:c r="D115" s="80" t="str">
        <x:v>Intel Core Ultra 5 250KF Plus</x:v>
      </x:c>
      <x:c r="E115" s="80"/>
      <x:c r="F115" s="80"/>
      <x:c r="G115" s="80"/>
      <x:c r="H115" s="80"/>
      <x:c r="I115" s="80" t="str">
        <x:v>Core Ultra 5 250KF Plus</x:v>
      </x:c>
      <x:c r="J115" s="80" t="str">
        <x:v>research_required</x:v>
      </x:c>
      <x:c r="K115" s="80" t="str">
        <x:v>unrated</x:v>
      </x:c>
      <x:c r="L115" s="83" t="n">
        <x:v>46218</x:v>
      </x:c>
      <x:c r="M115" s="14" t="str">
        <x:v>公式仕様とPassMark性能値を登録。ASIN/JAN、国内リテール品、保証条件、独立レビューは要確認。</x:v>
      </x:c>
      <x:c r="N115" s="14"/>
      <x:c r="O115" s="14"/>
      <x:c r="P115" s="14" t="str">
        <x:v>型番識別子・国内保証・販売形態を未確認</x:v>
      </x:c>
      <x:c r="Q115" s="14" t="str">
        <x:v>PassMarkスコアは2026-07-15確認時点。掲載値は更新されるため価格判定時に再確認してください。</x:v>
      </x:c>
      <x:c r="R115" s="80" t="str">
        <x:v>FCLGA1851</x:v>
      </x:c>
      <x:c r="S115" s="84" t="n">
        <x:v>18</x:v>
      </x:c>
      <x:c r="T115" s="84" t="n">
        <x:v>24</x:v>
      </x:c>
      <x:c r="U115" s="80" t="str">
        <x:v>Arrow Lake</x:v>
      </x:c>
      <x:c r="V115" s="85"/>
      <x:c r="W115" s="85" t="n">
        <x:v>125</x:v>
      </x:c>
      <x:c r="X115" s="80"/>
      <x:c r="Y115" s="81" t="b">
        <x:v>0</x:v>
      </x:c>
      <x:c r="Z115" s="81" t="b">
        <x:v>0</x:v>
      </x:c>
      <x:c r="AA115" s="80" t="str">
        <x:v>high</x:v>
      </x:c>
      <x:c r="AB115" s="80"/>
      <x:c r="AC115" s="80"/>
      <x:c r="AD115" s="83" t="n">
        <x:v>46107</x:v>
      </x:c>
      <x:c r="AE115" s="80" t="str">
        <x:v>2026-03-26</x:v>
      </x:c>
      <x:c r="AF115" s="80" t="str">
        <x:v>exact</x:v>
      </x:c>
      <x:c r="AG115" s="80" t="str">
        <x:v>Core Ultra 5</x:v>
      </x:c>
      <x:c r="AH115" s="80" t="str">
        <x:v>Core Ultra 200S Plus</x:v>
      </x:c>
      <x:c r="AI115" s="86" t="n">
        <x:v>6</x:v>
      </x:c>
      <x:c r="AJ115" s="86" t="n">
        <x:v>12</x:v>
      </x:c>
      <x:c r="AK115" s="86"/>
      <x:c r="AL115" s="86" t="n">
        <x:v>48872</x:v>
      </x:c>
      <x:c r="AM115" s="86" t="n">
        <x:v>4627</x:v>
      </x:c>
      <x:c r="AN115" s="83" t="n">
        <x:v>46218</x:v>
      </x:c>
    </x:row>
    <x:row r="116">
      <x:c r="A116" s="82" t="str">
        <x:v>intel-core-ultra-7-270k-plus</x:v>
      </x:c>
      <x:c r="B116" s="80" t="str">
        <x:v>Intel</x:v>
      </x:c>
      <x:c r="C116" s="80" t="str">
        <x:v>Core Ultra 7 270K Plus</x:v>
      </x:c>
      <x:c r="D116" s="80" t="str">
        <x:v>Intel Core Ultra 7 270K Plus</x:v>
      </x:c>
      <x:c r="E116" s="80"/>
      <x:c r="F116" s="80"/>
      <x:c r="G116" s="80"/>
      <x:c r="H116" s="80"/>
      <x:c r="I116" s="80" t="str">
        <x:v>Core Ultra 7 270K Plus</x:v>
      </x:c>
      <x:c r="J116" s="80" t="str">
        <x:v>research_required</x:v>
      </x:c>
      <x:c r="K116" s="80" t="str">
        <x:v>unrated</x:v>
      </x:c>
      <x:c r="L116" s="83" t="n">
        <x:v>46218</x:v>
      </x:c>
      <x:c r="M116" s="14" t="str">
        <x:v>公式仕様とPassMark性能値を登録。ASIN/JAN、国内リテール品、保証条件、独立レビューは要確認。</x:v>
      </x:c>
      <x:c r="N116" s="14"/>
      <x:c r="O116" s="14"/>
      <x:c r="P116" s="14" t="str">
        <x:v>型番識別子・国内保証・販売形態を未確認</x:v>
      </x:c>
      <x:c r="Q116" s="14" t="str">
        <x:v>PassMarkスコアは2026-07-15確認時点。掲載値は更新されるため価格判定時に再確認してください。</x:v>
      </x:c>
      <x:c r="R116" s="80" t="str">
        <x:v>FCLGA1851</x:v>
      </x:c>
      <x:c r="S116" s="84" t="n">
        <x:v>24</x:v>
      </x:c>
      <x:c r="T116" s="84" t="n">
        <x:v>32</x:v>
      </x:c>
      <x:c r="U116" s="80" t="str">
        <x:v>Arrow Lake</x:v>
      </x:c>
      <x:c r="V116" s="85"/>
      <x:c r="W116" s="85" t="n">
        <x:v>125</x:v>
      </x:c>
      <x:c r="X116" s="80"/>
      <x:c r="Y116" s="81" t="b">
        <x:v>0</x:v>
      </x:c>
      <x:c r="Z116" s="81" t="b">
        <x:v>1</x:v>
      </x:c>
      <x:c r="AA116" s="80" t="str">
        <x:v>high</x:v>
      </x:c>
      <x:c r="AB116" s="80"/>
      <x:c r="AC116" s="80"/>
      <x:c r="AD116" s="83" t="n">
        <x:v>46107</x:v>
      </x:c>
      <x:c r="AE116" s="80" t="str">
        <x:v>2026-03-26</x:v>
      </x:c>
      <x:c r="AF116" s="80" t="str">
        <x:v>exact</x:v>
      </x:c>
      <x:c r="AG116" s="80" t="str">
        <x:v>Core Ultra 7</x:v>
      </x:c>
      <x:c r="AH116" s="80" t="str">
        <x:v>Core Ultra 200S Plus</x:v>
      </x:c>
      <x:c r="AI116" s="86" t="n">
        <x:v>8</x:v>
      </x:c>
      <x:c r="AJ116" s="86" t="n">
        <x:v>16</x:v>
      </x:c>
      <x:c r="AK116" s="86"/>
      <x:c r="AL116" s="86" t="n">
        <x:v>68821</x:v>
      </x:c>
      <x:c r="AM116" s="86" t="n">
        <x:v>5078</x:v>
      </x:c>
      <x:c r="AN116" s="83" t="n">
        <x:v>46218</x:v>
      </x:c>
    </x:row>
    <x:row r="117">
      <x:c r="A117" s="82"/>
      <x:c r="B117" s="80"/>
      <x:c r="C117" s="80"/>
      <x:c r="D117" s="80"/>
      <x:c r="E117" s="80"/>
      <x:c r="F117" s="80"/>
      <x:c r="G117" s="80"/>
      <x:c r="H117" s="80"/>
      <x:c r="I117" s="80"/>
      <x:c r="J117" s="80"/>
      <x:c r="K117" s="80"/>
      <x:c r="L117" s="83"/>
      <x:c r="M117" s="14"/>
      <x:c r="N117" s="14"/>
      <x:c r="O117" s="14"/>
      <x:c r="P117" s="14"/>
      <x:c r="Q117" s="14"/>
      <x:c r="R117" s="80"/>
      <x:c r="S117" s="84"/>
      <x:c r="T117" s="84"/>
      <x:c r="U117" s="80"/>
      <x:c r="V117" s="85"/>
      <x:c r="W117" s="85"/>
      <x:c r="X117" s="80"/>
      <x:c r="Y117" s="80"/>
      <x:c r="Z117" s="80"/>
      <x:c r="AA117" s="80"/>
      <x:c r="AB117" s="80"/>
      <x:c r="AC117" s="80"/>
      <x:c r="AD117" s="83"/>
      <x:c r="AE117" s="80"/>
      <x:c r="AF117" s="80"/>
      <x:c r="AG117" s="80"/>
      <x:c r="AH117" s="80"/>
      <x:c r="AI117" s="86"/>
      <x:c r="AJ117" s="86"/>
      <x:c r="AK117" s="86"/>
      <x:c r="AL117" s="86"/>
      <x:c r="AM117" s="86"/>
      <x:c r="AN117" s="83"/>
    </x:row>
    <x:row r="118">
      <x:c r="A118" s="82"/>
      <x:c r="B118" s="80"/>
      <x:c r="C118" s="80"/>
      <x:c r="D118" s="80"/>
      <x:c r="E118" s="80"/>
      <x:c r="F118" s="80"/>
      <x:c r="G118" s="80"/>
      <x:c r="H118" s="80"/>
      <x:c r="I118" s="80"/>
      <x:c r="J118" s="80"/>
      <x:c r="K118" s="80"/>
      <x:c r="L118" s="83"/>
      <x:c r="M118" s="14"/>
      <x:c r="N118" s="14"/>
      <x:c r="O118" s="14"/>
      <x:c r="P118" s="14"/>
      <x:c r="Q118" s="14"/>
      <x:c r="R118" s="80"/>
      <x:c r="S118" s="84"/>
      <x:c r="T118" s="84"/>
      <x:c r="U118" s="80"/>
      <x:c r="V118" s="85"/>
      <x:c r="W118" s="85"/>
      <x:c r="X118" s="80"/>
      <x:c r="Y118" s="80"/>
      <x:c r="Z118" s="80"/>
      <x:c r="AA118" s="80"/>
      <x:c r="AB118" s="80"/>
      <x:c r="AC118" s="80"/>
      <x:c r="AD118" s="83"/>
      <x:c r="AE118" s="80"/>
      <x:c r="AF118" s="80"/>
      <x:c r="AG118" s="80"/>
      <x:c r="AH118" s="80"/>
      <x:c r="AI118" s="86"/>
      <x:c r="AJ118" s="86"/>
      <x:c r="AK118" s="86"/>
      <x:c r="AL118" s="86"/>
      <x:c r="AM118" s="86"/>
      <x:c r="AN118" s="83"/>
    </x:row>
    <x:row r="119">
      <x:c r="A119" s="82"/>
      <x:c r="B119" s="80"/>
      <x:c r="C119" s="80"/>
      <x:c r="D119" s="80"/>
      <x:c r="E119" s="80"/>
      <x:c r="F119" s="80"/>
      <x:c r="G119" s="80"/>
      <x:c r="H119" s="80"/>
      <x:c r="I119" s="80"/>
      <x:c r="J119" s="80"/>
      <x:c r="K119" s="80"/>
      <x:c r="L119" s="83"/>
      <x:c r="M119" s="14"/>
      <x:c r="N119" s="14"/>
      <x:c r="O119" s="14"/>
      <x:c r="P119" s="14"/>
      <x:c r="Q119" s="14"/>
      <x:c r="R119" s="80"/>
      <x:c r="S119" s="84"/>
      <x:c r="T119" s="84"/>
      <x:c r="U119" s="80"/>
      <x:c r="V119" s="85"/>
      <x:c r="W119" s="85"/>
      <x:c r="X119" s="80"/>
      <x:c r="Y119" s="80"/>
      <x:c r="Z119" s="80"/>
      <x:c r="AA119" s="80"/>
      <x:c r="AB119" s="80"/>
      <x:c r="AC119" s="80"/>
      <x:c r="AD119" s="83"/>
      <x:c r="AE119" s="80"/>
      <x:c r="AF119" s="80"/>
      <x:c r="AG119" s="80"/>
      <x:c r="AH119" s="80"/>
      <x:c r="AI119" s="86"/>
      <x:c r="AJ119" s="86"/>
      <x:c r="AK119" s="86"/>
      <x:c r="AL119" s="86"/>
      <x:c r="AM119" s="86"/>
      <x:c r="AN119" s="83"/>
    </x:row>
    <x:row r="120">
      <x:c r="A120" s="82"/>
      <x:c r="B120" s="80"/>
      <x:c r="C120" s="80"/>
      <x:c r="D120" s="80"/>
      <x:c r="E120" s="80"/>
      <x:c r="F120" s="80"/>
      <x:c r="G120" s="80"/>
      <x:c r="H120" s="80"/>
      <x:c r="I120" s="80"/>
      <x:c r="J120" s="80"/>
      <x:c r="K120" s="80"/>
      <x:c r="L120" s="83"/>
      <x:c r="M120" s="14"/>
      <x:c r="N120" s="14"/>
      <x:c r="O120" s="14"/>
      <x:c r="P120" s="14"/>
      <x:c r="Q120" s="14"/>
      <x:c r="R120" s="80"/>
      <x:c r="S120" s="84"/>
      <x:c r="T120" s="84"/>
      <x:c r="U120" s="80"/>
      <x:c r="V120" s="85"/>
      <x:c r="W120" s="85"/>
      <x:c r="X120" s="80"/>
      <x:c r="Y120" s="80"/>
      <x:c r="Z120" s="80"/>
      <x:c r="AA120" s="80"/>
      <x:c r="AB120" s="80"/>
      <x:c r="AC120" s="80"/>
      <x:c r="AD120" s="83"/>
      <x:c r="AE120" s="80"/>
      <x:c r="AF120" s="80"/>
      <x:c r="AG120" s="80"/>
      <x:c r="AH120" s="80"/>
      <x:c r="AI120" s="86"/>
      <x:c r="AJ120" s="86"/>
      <x:c r="AK120" s="86"/>
      <x:c r="AL120" s="86"/>
      <x:c r="AM120" s="86"/>
      <x:c r="AN120" s="83"/>
    </x:row>
    <x:row r="121">
      <x:c r="A121" s="82"/>
      <x:c r="B121" s="80"/>
      <x:c r="C121" s="80"/>
      <x:c r="D121" s="80"/>
      <x:c r="E121" s="80"/>
      <x:c r="F121" s="80"/>
      <x:c r="G121" s="80"/>
      <x:c r="H121" s="80"/>
      <x:c r="I121" s="80"/>
      <x:c r="J121" s="80"/>
      <x:c r="K121" s="80"/>
      <x:c r="L121" s="83"/>
      <x:c r="M121" s="14"/>
      <x:c r="N121" s="14"/>
      <x:c r="O121" s="14"/>
      <x:c r="P121" s="14"/>
      <x:c r="Q121" s="14"/>
      <x:c r="R121" s="80"/>
      <x:c r="S121" s="84"/>
      <x:c r="T121" s="84"/>
      <x:c r="U121" s="80"/>
      <x:c r="V121" s="85"/>
      <x:c r="W121" s="85"/>
      <x:c r="X121" s="80"/>
      <x:c r="Y121" s="80"/>
      <x:c r="Z121" s="80"/>
      <x:c r="AA121" s="80"/>
      <x:c r="AB121" s="80"/>
      <x:c r="AC121" s="80"/>
      <x:c r="AD121" s="83"/>
      <x:c r="AE121" s="80"/>
      <x:c r="AF121" s="80"/>
      <x:c r="AG121" s="80"/>
      <x:c r="AH121" s="80"/>
      <x:c r="AI121" s="86"/>
      <x:c r="AJ121" s="86"/>
      <x:c r="AK121" s="86"/>
      <x:c r="AL121" s="86"/>
      <x:c r="AM121" s="86"/>
      <x:c r="AN121" s="83"/>
    </x:row>
    <x:row r="122">
      <x:c r="A122" s="82"/>
      <x:c r="B122" s="80"/>
      <x:c r="C122" s="80"/>
      <x:c r="D122" s="80"/>
      <x:c r="E122" s="80"/>
      <x:c r="F122" s="80"/>
      <x:c r="G122" s="80"/>
      <x:c r="H122" s="80"/>
      <x:c r="I122" s="80"/>
      <x:c r="J122" s="80"/>
      <x:c r="K122" s="80"/>
      <x:c r="L122" s="83"/>
      <x:c r="M122" s="14"/>
      <x:c r="N122" s="14"/>
      <x:c r="O122" s="14"/>
      <x:c r="P122" s="14"/>
      <x:c r="Q122" s="14"/>
      <x:c r="R122" s="80"/>
      <x:c r="S122" s="84"/>
      <x:c r="T122" s="84"/>
      <x:c r="U122" s="80"/>
      <x:c r="V122" s="85"/>
      <x:c r="W122" s="85"/>
      <x:c r="X122" s="80"/>
      <x:c r="Y122" s="80"/>
      <x:c r="Z122" s="80"/>
      <x:c r="AA122" s="80"/>
      <x:c r="AB122" s="80"/>
      <x:c r="AC122" s="80"/>
      <x:c r="AD122" s="83"/>
      <x:c r="AE122" s="80"/>
      <x:c r="AF122" s="80"/>
      <x:c r="AG122" s="80"/>
      <x:c r="AH122" s="80"/>
      <x:c r="AI122" s="86"/>
      <x:c r="AJ122" s="86"/>
      <x:c r="AK122" s="86"/>
      <x:c r="AL122" s="86"/>
      <x:c r="AM122" s="86"/>
      <x:c r="AN122" s="83"/>
    </x:row>
    <x:row r="123">
      <x:c r="A123" s="82"/>
      <x:c r="B123" s="80"/>
      <x:c r="C123" s="80"/>
      <x:c r="D123" s="80"/>
      <x:c r="E123" s="80"/>
      <x:c r="F123" s="80"/>
      <x:c r="G123" s="80"/>
      <x:c r="H123" s="80"/>
      <x:c r="I123" s="80"/>
      <x:c r="J123" s="80"/>
      <x:c r="K123" s="80"/>
      <x:c r="L123" s="83"/>
      <x:c r="M123" s="14"/>
      <x:c r="N123" s="14"/>
      <x:c r="O123" s="14"/>
      <x:c r="P123" s="14"/>
      <x:c r="Q123" s="14"/>
      <x:c r="R123" s="80"/>
      <x:c r="S123" s="84"/>
      <x:c r="T123" s="84"/>
      <x:c r="U123" s="80"/>
      <x:c r="V123" s="85"/>
      <x:c r="W123" s="85"/>
      <x:c r="X123" s="80"/>
      <x:c r="Y123" s="80"/>
      <x:c r="Z123" s="80"/>
      <x:c r="AA123" s="80"/>
      <x:c r="AB123" s="80"/>
      <x:c r="AC123" s="80"/>
      <x:c r="AD123" s="83"/>
      <x:c r="AE123" s="80"/>
      <x:c r="AF123" s="80"/>
      <x:c r="AG123" s="80"/>
      <x:c r="AH123" s="80"/>
      <x:c r="AI123" s="86"/>
      <x:c r="AJ123" s="86"/>
      <x:c r="AK123" s="86"/>
      <x:c r="AL123" s="86"/>
      <x:c r="AM123" s="86"/>
      <x:c r="AN123" s="83"/>
    </x:row>
    <x:row r="124">
      <x:c r="A124" s="82"/>
      <x:c r="B124" s="80"/>
      <x:c r="C124" s="80"/>
      <x:c r="D124" s="80"/>
      <x:c r="E124" s="80"/>
      <x:c r="F124" s="80"/>
      <x:c r="G124" s="80"/>
      <x:c r="H124" s="80"/>
      <x:c r="I124" s="80"/>
      <x:c r="J124" s="80"/>
      <x:c r="K124" s="80"/>
      <x:c r="L124" s="83"/>
      <x:c r="M124" s="14"/>
      <x:c r="N124" s="14"/>
      <x:c r="O124" s="14"/>
      <x:c r="P124" s="14"/>
      <x:c r="Q124" s="14"/>
      <x:c r="R124" s="80"/>
      <x:c r="S124" s="84"/>
      <x:c r="T124" s="84"/>
      <x:c r="U124" s="80"/>
      <x:c r="V124" s="85"/>
      <x:c r="W124" s="85"/>
      <x:c r="X124" s="80"/>
      <x:c r="Y124" s="80"/>
      <x:c r="Z124" s="80"/>
      <x:c r="AA124" s="80"/>
      <x:c r="AB124" s="80"/>
      <x:c r="AC124" s="80"/>
      <x:c r="AD124" s="83"/>
      <x:c r="AE124" s="80"/>
      <x:c r="AF124" s="80"/>
      <x:c r="AG124" s="80"/>
      <x:c r="AH124" s="80"/>
      <x:c r="AI124" s="86"/>
      <x:c r="AJ124" s="86"/>
      <x:c r="AK124" s="86"/>
      <x:c r="AL124" s="86"/>
      <x:c r="AM124" s="86"/>
      <x:c r="AN124" s="83"/>
    </x:row>
    <x:row r="125">
      <x:c r="A125" s="82"/>
      <x:c r="B125" s="80"/>
      <x:c r="C125" s="80"/>
      <x:c r="D125" s="80"/>
      <x:c r="E125" s="80"/>
      <x:c r="F125" s="80"/>
      <x:c r="G125" s="80"/>
      <x:c r="H125" s="80"/>
      <x:c r="I125" s="80"/>
      <x:c r="J125" s="80"/>
      <x:c r="K125" s="80"/>
      <x:c r="L125" s="83"/>
      <x:c r="M125" s="14"/>
      <x:c r="N125" s="14"/>
      <x:c r="O125" s="14"/>
      <x:c r="P125" s="14"/>
      <x:c r="Q125" s="14"/>
      <x:c r="R125" s="80"/>
      <x:c r="S125" s="84"/>
      <x:c r="T125" s="84"/>
      <x:c r="U125" s="80"/>
      <x:c r="V125" s="85"/>
      <x:c r="W125" s="85"/>
      <x:c r="X125" s="80"/>
      <x:c r="Y125" s="80"/>
      <x:c r="Z125" s="80"/>
      <x:c r="AA125" s="80"/>
      <x:c r="AB125" s="80"/>
      <x:c r="AC125" s="80"/>
      <x:c r="AD125" s="83"/>
      <x:c r="AE125" s="80"/>
      <x:c r="AF125" s="80"/>
      <x:c r="AG125" s="80"/>
      <x:c r="AH125" s="80"/>
      <x:c r="AI125" s="86"/>
      <x:c r="AJ125" s="86"/>
      <x:c r="AK125" s="86"/>
      <x:c r="AL125" s="86"/>
      <x:c r="AM125" s="86"/>
      <x:c r="AN125" s="83"/>
    </x:row>
    <x:row r="126">
      <x:c r="A126" s="82"/>
      <x:c r="B126" s="80"/>
      <x:c r="C126" s="80"/>
      <x:c r="D126" s="80"/>
      <x:c r="E126" s="80"/>
      <x:c r="F126" s="80"/>
      <x:c r="G126" s="80"/>
      <x:c r="H126" s="80"/>
      <x:c r="I126" s="80"/>
      <x:c r="J126" s="80"/>
      <x:c r="K126" s="80"/>
      <x:c r="L126" s="83"/>
      <x:c r="M126" s="14"/>
      <x:c r="N126" s="14"/>
      <x:c r="O126" s="14"/>
      <x:c r="P126" s="14"/>
      <x:c r="Q126" s="14"/>
      <x:c r="R126" s="80"/>
      <x:c r="S126" s="84"/>
      <x:c r="T126" s="84"/>
      <x:c r="U126" s="80"/>
      <x:c r="V126" s="85"/>
      <x:c r="W126" s="85"/>
      <x:c r="X126" s="80"/>
      <x:c r="Y126" s="80"/>
      <x:c r="Z126" s="80"/>
      <x:c r="AA126" s="80"/>
      <x:c r="AB126" s="80"/>
      <x:c r="AC126" s="80"/>
      <x:c r="AD126" s="83"/>
      <x:c r="AE126" s="80"/>
      <x:c r="AF126" s="80"/>
      <x:c r="AG126" s="80"/>
      <x:c r="AH126" s="80"/>
      <x:c r="AI126" s="86"/>
      <x:c r="AJ126" s="86"/>
      <x:c r="AK126" s="86"/>
      <x:c r="AL126" s="86"/>
      <x:c r="AM126" s="86"/>
      <x:c r="AN126" s="83"/>
    </x:row>
    <x:row r="127">
      <x:c r="A127" s="82"/>
      <x:c r="B127" s="80"/>
      <x:c r="C127" s="80"/>
      <x:c r="D127" s="80"/>
      <x:c r="E127" s="80"/>
      <x:c r="F127" s="80"/>
      <x:c r="G127" s="80"/>
      <x:c r="H127" s="80"/>
      <x:c r="I127" s="80"/>
      <x:c r="J127" s="80"/>
      <x:c r="K127" s="80"/>
      <x:c r="L127" s="83"/>
      <x:c r="M127" s="14"/>
      <x:c r="N127" s="14"/>
      <x:c r="O127" s="14"/>
      <x:c r="P127" s="14"/>
      <x:c r="Q127" s="14"/>
      <x:c r="R127" s="80"/>
      <x:c r="S127" s="84"/>
      <x:c r="T127" s="84"/>
      <x:c r="U127" s="80"/>
      <x:c r="V127" s="85"/>
      <x:c r="W127" s="85"/>
      <x:c r="X127" s="80"/>
      <x:c r="Y127" s="80"/>
      <x:c r="Z127" s="80"/>
      <x:c r="AA127" s="80"/>
      <x:c r="AB127" s="80"/>
      <x:c r="AC127" s="80"/>
      <x:c r="AD127" s="83"/>
      <x:c r="AE127" s="80"/>
      <x:c r="AF127" s="80"/>
      <x:c r="AG127" s="80"/>
      <x:c r="AH127" s="80"/>
      <x:c r="AI127" s="86"/>
      <x:c r="AJ127" s="86"/>
      <x:c r="AK127" s="86"/>
      <x:c r="AL127" s="86"/>
      <x:c r="AM127" s="86"/>
      <x:c r="AN127" s="83"/>
    </x:row>
    <x:row r="128">
      <x:c r="A128" s="82"/>
      <x:c r="B128" s="80"/>
      <x:c r="C128" s="80"/>
      <x:c r="D128" s="80"/>
      <x:c r="E128" s="80"/>
      <x:c r="F128" s="80"/>
      <x:c r="G128" s="80"/>
      <x:c r="H128" s="80"/>
      <x:c r="I128" s="80"/>
      <x:c r="J128" s="80"/>
      <x:c r="K128" s="80"/>
      <x:c r="L128" s="83"/>
      <x:c r="M128" s="14"/>
      <x:c r="N128" s="14"/>
      <x:c r="O128" s="14"/>
      <x:c r="P128" s="14"/>
      <x:c r="Q128" s="14"/>
      <x:c r="R128" s="80"/>
      <x:c r="S128" s="84"/>
      <x:c r="T128" s="84"/>
      <x:c r="U128" s="80"/>
      <x:c r="V128" s="85"/>
      <x:c r="W128" s="85"/>
      <x:c r="X128" s="80"/>
      <x:c r="Y128" s="80"/>
      <x:c r="Z128" s="80"/>
      <x:c r="AA128" s="80"/>
      <x:c r="AB128" s="80"/>
      <x:c r="AC128" s="80"/>
      <x:c r="AD128" s="83"/>
      <x:c r="AE128" s="80"/>
      <x:c r="AF128" s="80"/>
      <x:c r="AG128" s="80"/>
      <x:c r="AH128" s="80"/>
      <x:c r="AI128" s="86"/>
      <x:c r="AJ128" s="86"/>
      <x:c r="AK128" s="86"/>
      <x:c r="AL128" s="86"/>
      <x:c r="AM128" s="86"/>
      <x:c r="AN128" s="83"/>
    </x:row>
    <x:row r="129">
      <x:c r="A129" s="82"/>
      <x:c r="B129" s="80"/>
      <x:c r="C129" s="80"/>
      <x:c r="D129" s="80"/>
      <x:c r="E129" s="80"/>
      <x:c r="F129" s="80"/>
      <x:c r="G129" s="80"/>
      <x:c r="H129" s="80"/>
      <x:c r="I129" s="80"/>
      <x:c r="J129" s="80"/>
      <x:c r="K129" s="80"/>
      <x:c r="L129" s="83"/>
      <x:c r="M129" s="14"/>
      <x:c r="N129" s="14"/>
      <x:c r="O129" s="14"/>
      <x:c r="P129" s="14"/>
      <x:c r="Q129" s="14"/>
      <x:c r="R129" s="80"/>
      <x:c r="S129" s="84"/>
      <x:c r="T129" s="84"/>
      <x:c r="U129" s="80"/>
      <x:c r="V129" s="85"/>
      <x:c r="W129" s="85"/>
      <x:c r="X129" s="80"/>
      <x:c r="Y129" s="80"/>
      <x:c r="Z129" s="80"/>
      <x:c r="AA129" s="80"/>
      <x:c r="AB129" s="80"/>
      <x:c r="AC129" s="80"/>
      <x:c r="AD129" s="83"/>
      <x:c r="AE129" s="80"/>
      <x:c r="AF129" s="80"/>
      <x:c r="AG129" s="80"/>
      <x:c r="AH129" s="80"/>
      <x:c r="AI129" s="86"/>
      <x:c r="AJ129" s="86"/>
      <x:c r="AK129" s="86"/>
      <x:c r="AL129" s="86"/>
      <x:c r="AM129" s="86"/>
      <x:c r="AN129" s="83"/>
    </x:row>
    <x:row r="130">
      <x:c r="A130" s="82"/>
      <x:c r="B130" s="80"/>
      <x:c r="C130" s="80"/>
      <x:c r="D130" s="80"/>
      <x:c r="E130" s="80"/>
      <x:c r="F130" s="80"/>
      <x:c r="G130" s="80"/>
      <x:c r="H130" s="80"/>
      <x:c r="I130" s="80"/>
      <x:c r="J130" s="80"/>
      <x:c r="K130" s="80"/>
      <x:c r="L130" s="83"/>
      <x:c r="M130" s="14"/>
      <x:c r="N130" s="14"/>
      <x:c r="O130" s="14"/>
      <x:c r="P130" s="14"/>
      <x:c r="Q130" s="14"/>
      <x:c r="R130" s="80"/>
      <x:c r="S130" s="84"/>
      <x:c r="T130" s="84"/>
      <x:c r="U130" s="80"/>
      <x:c r="V130" s="85"/>
      <x:c r="W130" s="85"/>
      <x:c r="X130" s="80"/>
      <x:c r="Y130" s="80"/>
      <x:c r="Z130" s="80"/>
      <x:c r="AA130" s="80"/>
      <x:c r="AB130" s="80"/>
      <x:c r="AC130" s="80"/>
      <x:c r="AD130" s="83"/>
      <x:c r="AE130" s="80"/>
      <x:c r="AF130" s="80"/>
      <x:c r="AG130" s="80"/>
      <x:c r="AH130" s="80"/>
      <x:c r="AI130" s="86"/>
      <x:c r="AJ130" s="86"/>
      <x:c r="AK130" s="86"/>
      <x:c r="AL130" s="86"/>
      <x:c r="AM130" s="86"/>
      <x:c r="AN130" s="83"/>
    </x:row>
    <x:row r="131">
      <x:c r="A131" s="82"/>
      <x:c r="B131" s="80"/>
      <x:c r="C131" s="80"/>
      <x:c r="D131" s="80"/>
      <x:c r="E131" s="80"/>
      <x:c r="F131" s="80"/>
      <x:c r="G131" s="80"/>
      <x:c r="H131" s="80"/>
      <x:c r="I131" s="80"/>
      <x:c r="J131" s="80"/>
      <x:c r="K131" s="80"/>
      <x:c r="L131" s="83"/>
      <x:c r="M131" s="14"/>
      <x:c r="N131" s="14"/>
      <x:c r="O131" s="14"/>
      <x:c r="P131" s="14"/>
      <x:c r="Q131" s="14"/>
      <x:c r="R131" s="80"/>
      <x:c r="S131" s="84"/>
      <x:c r="T131" s="84"/>
      <x:c r="U131" s="80"/>
      <x:c r="V131" s="85"/>
      <x:c r="W131" s="85"/>
      <x:c r="X131" s="80"/>
      <x:c r="Y131" s="80"/>
      <x:c r="Z131" s="80"/>
      <x:c r="AA131" s="80"/>
      <x:c r="AB131" s="80"/>
      <x:c r="AC131" s="80"/>
      <x:c r="AD131" s="83"/>
      <x:c r="AE131" s="80"/>
      <x:c r="AF131" s="80"/>
      <x:c r="AG131" s="80"/>
      <x:c r="AH131" s="80"/>
      <x:c r="AI131" s="86"/>
      <x:c r="AJ131" s="86"/>
      <x:c r="AK131" s="86"/>
      <x:c r="AL131" s="86"/>
      <x:c r="AM131" s="86"/>
      <x:c r="AN131" s="83"/>
    </x:row>
    <x:row r="132">
      <x:c r="A132" s="82"/>
      <x:c r="B132" s="80"/>
      <x:c r="C132" s="80"/>
      <x:c r="D132" s="80"/>
      <x:c r="E132" s="80"/>
      <x:c r="F132" s="80"/>
      <x:c r="G132" s="80"/>
      <x:c r="H132" s="80"/>
      <x:c r="I132" s="80"/>
      <x:c r="J132" s="80"/>
      <x:c r="K132" s="80"/>
      <x:c r="L132" s="83"/>
      <x:c r="M132" s="14"/>
      <x:c r="N132" s="14"/>
      <x:c r="O132" s="14"/>
      <x:c r="P132" s="14"/>
      <x:c r="Q132" s="14"/>
      <x:c r="R132" s="80"/>
      <x:c r="S132" s="84"/>
      <x:c r="T132" s="84"/>
      <x:c r="U132" s="80"/>
      <x:c r="V132" s="85"/>
      <x:c r="W132" s="85"/>
      <x:c r="X132" s="80"/>
      <x:c r="Y132" s="80"/>
      <x:c r="Z132" s="80"/>
      <x:c r="AA132" s="80"/>
      <x:c r="AB132" s="80"/>
      <x:c r="AC132" s="80"/>
      <x:c r="AD132" s="83"/>
      <x:c r="AE132" s="80"/>
      <x:c r="AF132" s="80"/>
      <x:c r="AG132" s="80"/>
      <x:c r="AH132" s="80"/>
      <x:c r="AI132" s="86"/>
      <x:c r="AJ132" s="86"/>
      <x:c r="AK132" s="86"/>
      <x:c r="AL132" s="86"/>
      <x:c r="AM132" s="86"/>
      <x:c r="AN132" s="83"/>
    </x:row>
    <x:row r="133">
      <x:c r="A133" s="82"/>
      <x:c r="B133" s="80"/>
      <x:c r="C133" s="80"/>
      <x:c r="D133" s="80"/>
      <x:c r="E133" s="80"/>
      <x:c r="F133" s="80"/>
      <x:c r="G133" s="80"/>
      <x:c r="H133" s="80"/>
      <x:c r="I133" s="80"/>
      <x:c r="J133" s="80"/>
      <x:c r="K133" s="80"/>
      <x:c r="L133" s="83"/>
      <x:c r="M133" s="14"/>
      <x:c r="N133" s="14"/>
      <x:c r="O133" s="14"/>
      <x:c r="P133" s="14"/>
      <x:c r="Q133" s="14"/>
      <x:c r="R133" s="80"/>
      <x:c r="S133" s="84"/>
      <x:c r="T133" s="84"/>
      <x:c r="U133" s="80"/>
      <x:c r="V133" s="85"/>
      <x:c r="W133" s="85"/>
      <x:c r="X133" s="80"/>
      <x:c r="Y133" s="80"/>
      <x:c r="Z133" s="80"/>
      <x:c r="AA133" s="80"/>
      <x:c r="AB133" s="80"/>
      <x:c r="AC133" s="80"/>
      <x:c r="AD133" s="83"/>
      <x:c r="AE133" s="80"/>
      <x:c r="AF133" s="80"/>
      <x:c r="AG133" s="80"/>
      <x:c r="AH133" s="80"/>
      <x:c r="AI133" s="86"/>
      <x:c r="AJ133" s="86"/>
      <x:c r="AK133" s="86"/>
      <x:c r="AL133" s="86"/>
      <x:c r="AM133" s="86"/>
      <x:c r="AN133" s="83"/>
    </x:row>
    <x:row r="134">
      <x:c r="A134" s="82"/>
      <x:c r="B134" s="80"/>
      <x:c r="C134" s="80"/>
      <x:c r="D134" s="80"/>
      <x:c r="E134" s="80"/>
      <x:c r="F134" s="80"/>
      <x:c r="G134" s="80"/>
      <x:c r="H134" s="80"/>
      <x:c r="I134" s="80"/>
      <x:c r="J134" s="80"/>
      <x:c r="K134" s="80"/>
      <x:c r="L134" s="83"/>
      <x:c r="M134" s="14"/>
      <x:c r="N134" s="14"/>
      <x:c r="O134" s="14"/>
      <x:c r="P134" s="14"/>
      <x:c r="Q134" s="14"/>
      <x:c r="R134" s="80"/>
      <x:c r="S134" s="84"/>
      <x:c r="T134" s="84"/>
      <x:c r="U134" s="80"/>
      <x:c r="V134" s="85"/>
      <x:c r="W134" s="85"/>
      <x:c r="X134" s="80"/>
      <x:c r="Y134" s="80"/>
      <x:c r="Z134" s="80"/>
      <x:c r="AA134" s="80"/>
      <x:c r="AB134" s="80"/>
      <x:c r="AC134" s="80"/>
      <x:c r="AD134" s="83"/>
      <x:c r="AE134" s="80"/>
      <x:c r="AF134" s="80"/>
      <x:c r="AG134" s="80"/>
      <x:c r="AH134" s="80"/>
      <x:c r="AI134" s="86"/>
      <x:c r="AJ134" s="86"/>
      <x:c r="AK134" s="86"/>
      <x:c r="AL134" s="86"/>
      <x:c r="AM134" s="86"/>
      <x:c r="AN134" s="83"/>
    </x:row>
    <x:row r="135">
      <x:c r="A135" s="82"/>
      <x:c r="B135" s="80"/>
      <x:c r="C135" s="80"/>
      <x:c r="D135" s="80"/>
      <x:c r="E135" s="80"/>
      <x:c r="F135" s="80"/>
      <x:c r="G135" s="80"/>
      <x:c r="H135" s="80"/>
      <x:c r="I135" s="80"/>
      <x:c r="J135" s="80"/>
      <x:c r="K135" s="80"/>
      <x:c r="L135" s="83"/>
      <x:c r="M135" s="14"/>
      <x:c r="N135" s="14"/>
      <x:c r="O135" s="14"/>
      <x:c r="P135" s="14"/>
      <x:c r="Q135" s="14"/>
      <x:c r="R135" s="80"/>
      <x:c r="S135" s="84"/>
      <x:c r="T135" s="84"/>
      <x:c r="U135" s="80"/>
      <x:c r="V135" s="85"/>
      <x:c r="W135" s="85"/>
      <x:c r="X135" s="80"/>
      <x:c r="Y135" s="80"/>
      <x:c r="Z135" s="80"/>
      <x:c r="AA135" s="80"/>
      <x:c r="AB135" s="80"/>
      <x:c r="AC135" s="80"/>
      <x:c r="AD135" s="83"/>
      <x:c r="AE135" s="80"/>
      <x:c r="AF135" s="80"/>
      <x:c r="AG135" s="80"/>
      <x:c r="AH135" s="80"/>
      <x:c r="AI135" s="86"/>
      <x:c r="AJ135" s="86"/>
      <x:c r="AK135" s="86"/>
      <x:c r="AL135" s="86"/>
      <x:c r="AM135" s="86"/>
      <x:c r="AN135" s="83"/>
    </x:row>
    <x:row r="136">
      <x:c r="A136" s="82"/>
      <x:c r="B136" s="80"/>
      <x:c r="C136" s="80"/>
      <x:c r="D136" s="80"/>
      <x:c r="E136" s="80"/>
      <x:c r="F136" s="80"/>
      <x:c r="G136" s="80"/>
      <x:c r="H136" s="80"/>
      <x:c r="I136" s="80"/>
      <x:c r="J136" s="80"/>
      <x:c r="K136" s="80"/>
      <x:c r="L136" s="83"/>
      <x:c r="M136" s="14"/>
      <x:c r="N136" s="14"/>
      <x:c r="O136" s="14"/>
      <x:c r="P136" s="14"/>
      <x:c r="Q136" s="14"/>
      <x:c r="R136" s="80"/>
      <x:c r="S136" s="84"/>
      <x:c r="T136" s="84"/>
      <x:c r="U136" s="80"/>
      <x:c r="V136" s="85"/>
      <x:c r="W136" s="85"/>
      <x:c r="X136" s="80"/>
      <x:c r="Y136" s="80"/>
      <x:c r="Z136" s="80"/>
      <x:c r="AA136" s="80"/>
      <x:c r="AB136" s="80"/>
      <x:c r="AC136" s="80"/>
      <x:c r="AD136" s="83"/>
      <x:c r="AE136" s="80"/>
      <x:c r="AF136" s="80"/>
      <x:c r="AG136" s="80"/>
      <x:c r="AH136" s="80"/>
      <x:c r="AI136" s="86"/>
      <x:c r="AJ136" s="86"/>
      <x:c r="AK136" s="86"/>
      <x:c r="AL136" s="86"/>
      <x:c r="AM136" s="86"/>
      <x:c r="AN136" s="83"/>
    </x:row>
  </x:sheetData>
  <x:mergeCells>
    <x:mergeCell ref="A1:AN1"/>
    <x:mergeCell ref="A2:AN2"/>
  </x:mergeCells>
  <x:conditionalFormatting sqref="J5:J24">
    <x:cfRule type="containsText" dxfId="0" priority="1" operator="containsText" text="approved"/>
    <x:cfRule type="containsText" dxfId="1" priority="2" operator="containsText" text="preferred"/>
    <x:cfRule type="containsText" dxfId="2" priority="3" operator="containsText" text="rejected"/>
  </x:conditionalFormatting>
  <x:conditionalFormatting sqref="AL5:AM116">
    <x:cfRule type="dataBar" priority="4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{0DA0E2DC-2531-1BC4-55D9-A136F84B6D47}</x14:id>
        </x:ext>
      </x:extLst>
    </x:cfRule>
  </x:conditionalFormatting>
  <x:dataValidations count="13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'Lists'!$N$5:$N$8</x:formula1>
    </x:dataValidation>
    <x:dataValidation type="list" sqref="X5:X24">
      <x:formula1>'Lists'!$C$5:$C$6</x:formula1>
    </x:dataValidation>
    <x:dataValidation type="list" sqref="Y5:Y24">
      <x:formula1>'Lists'!$C$5:$C$6</x:formula1>
    </x:dataValidation>
    <x:dataValidation type="list" sqref="Z5:Z24">
      <x:formula1>'Lists'!$C$5:$C$6</x:formula1>
    </x:dataValidation>
    <x:dataValidation type="list" sqref="AA5:AA24">
      <x:formula1>'Lists'!$O$5:$O$8</x:formula1>
    </x:dataValidation>
    <x:dataValidation type="list" sqref="J5:J136">
      <x:formula1>"research_required,approved,preferred,rejected,discontinued"</x:formula1>
    </x:dataValidation>
    <x:dataValidation type="list" sqref="K5:K136">
      <x:formula1>"S,A,B,C,unrated"</x:formula1>
    </x:dataValidation>
    <x:dataValidation type="list" sqref="X5:X136">
      <x:formula1>"true,false"</x:formula1>
    </x:dataValidation>
    <x:dataValidation type="list" sqref="Y5:Y136">
      <x:formula1>"true,false"</x:formula1>
    </x:dataValidation>
    <x:dataValidation type="list" sqref="Z5:Z136">
      <x:formula1>"true,false"</x:formula1>
    </x:dataValidation>
    <x:dataValidation type="list" sqref="AF5:AF136">
      <x:formula1>"exact,month,quarter,unknown"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b623b58d1e4c0e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{0DA0E2DC-2531-1BC4-55D9-A136F84B6D47}">
            <x14:dataBar gradient="1">
              <x14:cfvo type="min"/>
              <x14:cfvo type="max"/>
              <x14:fillColor rgb="FF5B9BD5"/>
            </x14:dataBar>
          </x14:cfRule>
          <xm:sqref>AL5:AM116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2" hidden="0" customWidth="1"/>
    <x:col min="3" max="3" width="26" hidden="0" customWidth="1"/>
    <x:col min="4" max="4" width="30" hidden="0" customWidth="1"/>
    <x:col min="5" max="5" width="16" hidden="0" customWidth="1"/>
    <x:col min="6" max="6" width="16" hidden="0" customWidth="1"/>
    <x:col min="7" max="7" width="22" hidden="0" customWidth="1"/>
    <x:col min="8" max="8" width="18" hidden="0" customWidth="1"/>
    <x:col min="9" max="9" width="22" hidden="0" customWidth="1"/>
    <x:col min="10" max="10" width="18" hidden="0" customWidth="1"/>
    <x:col min="11" max="11" width="11" hidden="0" customWidth="1"/>
    <x:col min="12" max="12" width="13" hidden="0" customWidth="1"/>
    <x:col min="13" max="13" width="36" hidden="0" customWidth="1"/>
    <x:col min="14" max="14" width="24" hidden="0" customWidth="1"/>
    <x:col min="15" max="15" width="24" hidden="0" customWidth="1"/>
    <x:col min="16" max="16" width="32" hidden="0" customWidth="1"/>
    <x:col min="17" max="17" width="42" hidden="0" customWidth="1"/>
    <x:col min="18" max="18" width="34" hidden="0" customWidth="1"/>
    <x:col min="19" max="19" width="22" hidden="0" customWidth="1"/>
    <x:col min="20" max="20" width="24" hidden="0" customWidth="1"/>
    <x:col min="21" max="21" width="14" hidden="0" customWidth="1"/>
    <x:col min="22" max="22" width="22" hidden="0" customWidth="1"/>
    <x:col min="23" max="23" width="14" hidden="0" customWidth="1"/>
    <x:col min="24" max="24" width="16" hidden="0" customWidth="1"/>
    <x:col min="25" max="25" width="24" hidden="0" customWidth="1"/>
    <x:col min="26" max="26" width="16" hidden="0" customWidth="1"/>
    <x:col min="27" max="27" width="16" hidden="0" customWidth="1"/>
    <x:col min="28" max="28" width="14" hidden="0" customWidth="1"/>
    <x:col min="29" max="29" width="15" hidden="0" customWidth="1"/>
    <x:col min="30" max="30" width="22" hidden="0" customWidth="1"/>
    <x:col min="31" max="31" width="14" hidden="0" customWidth="1"/>
    <x:col min="32" max="32" width="14" hidden="0" customWidth="1"/>
    <x:col min="33" max="33" width="14" hidden="0" customWidth="1"/>
    <x:col min="34" max="34" width="13" hidden="0" customWidth="1"/>
  </x:cols>
  <x:sheetData>
    <x:row r="1" ht="34" customHeight="1">
      <x:c r="A1" s="92" t="str">
        <x:v>GPU ボード製品 品質カタログ</x:v>
      </x:c>
      <x:c r="B1" s="92" t="str">
        <x:v>GPU ボード製品 品質カタログ</x:v>
      </x:c>
      <x:c r="C1" s="92" t="str">
        <x:v>GPU ボード製品 品質カタログ</x:v>
      </x:c>
      <x:c r="D1" s="92" t="str">
        <x:v>GPU ボード製品 品質カタログ</x:v>
      </x:c>
      <x:c r="E1" s="92" t="str">
        <x:v>GPU ボード製品 品質カタログ</x:v>
      </x:c>
      <x:c r="F1" s="92" t="str">
        <x:v>GPU ボード製品 品質カタログ</x:v>
      </x:c>
      <x:c r="G1" s="92" t="str">
        <x:v>GPU ボード製品 品質カタログ</x:v>
      </x:c>
      <x:c r="H1" s="92" t="str">
        <x:v>GPU ボード製品 品質カタログ</x:v>
      </x:c>
      <x:c r="I1" s="92" t="str">
        <x:v>GPU ボード製品 品質カタログ</x:v>
      </x:c>
      <x:c r="J1" s="92" t="str">
        <x:v>GPU ボード製品 品質カタログ</x:v>
      </x:c>
      <x:c r="K1" s="92" t="str">
        <x:v>GPU ボード製品 品質カタログ</x:v>
      </x:c>
      <x:c r="L1" s="92" t="str">
        <x:v>GPU ボード製品 品質カタログ</x:v>
      </x:c>
      <x:c r="M1" s="92" t="str">
        <x:v>GPU ボード製品 品質カタログ</x:v>
      </x:c>
      <x:c r="N1" s="92" t="str">
        <x:v>GPU ボード製品 品質カタログ</x:v>
      </x:c>
      <x:c r="O1" s="92" t="str">
        <x:v>GPU ボード製品 品質カタログ</x:v>
      </x:c>
      <x:c r="P1" s="92" t="str">
        <x:v>GPU ボード製品 品質カタログ</x:v>
      </x:c>
      <x:c r="Q1" s="92" t="str">
        <x:v>GPU ボード製品 品質カタログ</x:v>
      </x:c>
      <x:c r="R1" s="92" t="str">
        <x:v>GPU ボード製品 品質カタログ</x:v>
      </x:c>
      <x:c r="S1" s="92" t="str">
        <x:v>GPU ボード製品 品質カタログ</x:v>
      </x:c>
      <x:c r="T1" s="92" t="str">
        <x:v>GPU ボード製品 品質カタログ</x:v>
      </x:c>
      <x:c r="U1" s="92" t="str">
        <x:v>GPU ボード製品 品質カタログ</x:v>
      </x:c>
      <x:c r="V1" s="92" t="str">
        <x:v>GPU ボード製品 品質カタログ</x:v>
      </x:c>
      <x:c r="W1" s="92" t="str">
        <x:v>GPU ボード製品 品質カタログ</x:v>
      </x:c>
      <x:c r="X1" s="92" t="str">
        <x:v>GPU ボード製品 品質カタログ</x:v>
      </x:c>
      <x:c r="Y1" s="92" t="str">
        <x:v>GPU ボード製品 品質カタログ</x:v>
      </x:c>
      <x:c r="Z1" s="92" t="str">
        <x:v>GPU ボード製品 品質カタログ</x:v>
      </x:c>
      <x:c r="AA1" s="92" t="str">
        <x:v>GPU ボード製品 品質カタログ</x:v>
      </x:c>
      <x:c r="AB1" s="92" t="str">
        <x:v>GPU ボード製品 品質カタログ</x:v>
      </x:c>
      <x:c r="AC1" s="92" t="str">
        <x:v>GPU ボード製品 品質カタログ</x:v>
      </x:c>
      <x:c r="AD1" s="92" t="str">
        <x:v>GPU ボード製品 品質カタログ</x:v>
      </x:c>
      <x:c r="AE1" s="92" t="str">
        <x:v>GPU ボード製品 品質カタログ</x:v>
      </x:c>
      <x:c r="AF1" s="92" t="str">
        <x:v>GPU ボード製品 品質カタログ</x:v>
      </x:c>
      <x:c r="AG1" s="92" t="str">
        <x:v>GPU ボード製品 品質カタログ</x:v>
      </x:c>
      <x:c r="AH1" s="92" t="str">
        <x:v>GPU ボード製品 品質カタログ</x:v>
      </x:c>
    </x:row>
    <x:row r="2" ht="32" customHeight="1">
      <x:c r="A2" s="96" t="str">
        <x:v>主要6メーカーの完全SKUを44件登録しています。性能とVRAMは直後のGPUChips（64構成）をgpu_chip_idで参照し、冷却・騒音・寸法・保証は個別ボード単位で評価します。未登録SKUは同シリーズから品質を自動継承しません。</x:v>
      </x:c>
      <x:c r="B2" s="96" t="str">
        <x:v>ASUS・MSI・GIGABYTE・SAPPHIRE等の完全SKUを管理します。性能とVRAMはgpu_chip_idでGPUChipsを参照し、冷却・騒音・寸法・保証は個別ボード単位で評価します。</x:v>
      </x:c>
      <x:c r="C2" s="96" t="str">
        <x:v>ASUS・MSI・GIGABYTE・SAPPHIRE等の完全SKUを管理します。性能とVRAMはgpu_chip_idでGPUChipsを参照し、冷却・騒音・寸法・保証は個別ボード単位で評価します。</x:v>
      </x:c>
      <x:c r="D2" s="96" t="str">
        <x:v>ASUS・MSI・GIGABYTE・SAPPHIRE等の完全SKUを管理します。性能とVRAMはgpu_chip_idでGPUChipsを参照し、冷却・騒音・寸法・保証は個別ボード単位で評価します。</x:v>
      </x:c>
      <x:c r="E2" s="96" t="str">
        <x:v>ASUS・MSI・GIGABYTE・SAPPHIRE等の完全SKUを管理します。性能とVRAMはgpu_chip_idでGPUChipsを参照し、冷却・騒音・寸法・保証は個別ボード単位で評価します。</x:v>
      </x:c>
      <x:c r="F2" s="96" t="str">
        <x:v>ASUS・MSI・GIGABYTE・SAPPHIRE等の完全SKUを管理します。性能とVRAMはgpu_chip_idでGPUChipsを参照し、冷却・騒音・寸法・保証は個別ボード単位で評価します。</x:v>
      </x:c>
      <x:c r="G2" s="96" t="str">
        <x:v>ASUS・MSI・GIGABYTE・SAPPHIRE等の完全SKUを管理します。性能とVRAMはgpu_chip_idでGPUChipsを参照し、冷却・騒音・寸法・保証は個別ボード単位で評価します。</x:v>
      </x:c>
      <x:c r="H2" s="96" t="str">
        <x:v>ASUS・MSI・GIGABYTE・SAPPHIRE等の完全SKUを管理します。性能とVRAMはgpu_chip_idでGPUChipsを参照し、冷却・騒音・寸法・保証は個別ボード単位で評価します。</x:v>
      </x:c>
      <x:c r="I2" s="96" t="str">
        <x:v>ASUS・MSI・GIGABYTE・SAPPHIRE等の完全SKUを管理します。性能とVRAMはgpu_chip_idでGPUChipsを参照し、冷却・騒音・寸法・保証は個別ボード単位で評価します。</x:v>
      </x:c>
      <x:c r="J2" s="96" t="str">
        <x:v>ASUS・MSI・GIGABYTE・SAPPHIRE等の完全SKUを管理します。性能とVRAMはgpu_chip_idでGPUChipsを参照し、冷却・騒音・寸法・保証は個別ボード単位で評価します。</x:v>
      </x:c>
      <x:c r="K2" s="96" t="str">
        <x:v>ASUS・MSI・GIGABYTE・SAPPHIRE等の完全SKUを管理します。性能とVRAMはgpu_chip_idでGPUChipsを参照し、冷却・騒音・寸法・保証は個別ボード単位で評価します。</x:v>
      </x:c>
      <x:c r="L2" s="96" t="str">
        <x:v>ASUS・MSI・GIGABYTE・SAPPHIRE等の完全SKUを管理します。性能とVRAMはgpu_chip_idでGPUChipsを参照し、冷却・騒音・寸法・保証は個別ボード単位で評価します。</x:v>
      </x:c>
      <x:c r="M2" s="96" t="str">
        <x:v>ASUS・MSI・GIGABYTE・SAPPHIRE等の完全SKUを管理します。性能とVRAMはgpu_chip_idでGPUChipsを参照し、冷却・騒音・寸法・保証は個別ボード単位で評価します。</x:v>
      </x:c>
      <x:c r="N2" s="96" t="str">
        <x:v>ASUS・MSI・GIGABYTE・SAPPHIRE等の完全SKUを管理します。性能とVRAMはgpu_chip_idでGPUChipsを参照し、冷却・騒音・寸法・保証は個別ボード単位で評価します。</x:v>
      </x:c>
      <x:c r="O2" s="96" t="str">
        <x:v>ASUS・MSI・GIGABYTE・SAPPHIRE等の完全SKUを管理します。性能とVRAMはgpu_chip_idでGPUChipsを参照し、冷却・騒音・寸法・保証は個別ボード単位で評価します。</x:v>
      </x:c>
      <x:c r="P2" s="96" t="str">
        <x:v>ASUS・MSI・GIGABYTE・SAPPHIRE等の完全SKUを管理します。性能とVRAMはgpu_chip_idでGPUChipsを参照し、冷却・騒音・寸法・保証は個別ボード単位で評価します。</x:v>
      </x:c>
      <x:c r="Q2" s="96" t="str">
        <x:v>ASUS・MSI・GIGABYTE・SAPPHIRE等の完全SKUを管理します。性能とVRAMはgpu_chip_idでGPUChipsを参照し、冷却・騒音・寸法・保証は個別ボード単位で評価します。</x:v>
      </x:c>
      <x:c r="R2" s="96" t="str">
        <x:v>ASUS・MSI・GIGABYTE・SAPPHIRE等の完全SKUを管理します。性能とVRAMはgpu_chip_idでGPUChipsを参照し、冷却・騒音・寸法・保証は個別ボード単位で評価します。</x:v>
      </x:c>
      <x:c r="S2" s="96" t="str">
        <x:v>ASUS・MSI・GIGABYTE・SAPPHIRE等の完全SKUを管理します。性能とVRAMはgpu_chip_idでGPUChipsを参照し、冷却・騒音・寸法・保証は個別ボード単位で評価します。</x:v>
      </x:c>
      <x:c r="T2" s="96" t="str">
        <x:v>ASUS・MSI・GIGABYTE・SAPPHIRE等の完全SKUを管理します。性能とVRAMはgpu_chip_idでGPUChipsを参照し、冷却・騒音・寸法・保証は個別ボード単位で評価します。</x:v>
      </x:c>
      <x:c r="U2" s="96" t="str">
        <x:v>ASUS・MSI・GIGABYTE・SAPPHIRE等の完全SKUを管理します。性能とVRAMはgpu_chip_idでGPUChipsを参照し、冷却・騒音・寸法・保証は個別ボード単位で評価します。</x:v>
      </x:c>
      <x:c r="V2" s="96" t="str">
        <x:v>ASUS・MSI・GIGABYTE・SAPPHIRE等の完全SKUを管理します。性能とVRAMはgpu_chip_idでGPUChipsを参照し、冷却・騒音・寸法・保証は個別ボード単位で評価します。</x:v>
      </x:c>
      <x:c r="W2" s="96" t="str">
        <x:v>ASUS・MSI・GIGABYTE・SAPPHIRE等の完全SKUを管理します。性能とVRAMはgpu_chip_idでGPUChipsを参照し、冷却・騒音・寸法・保証は個別ボード単位で評価します。</x:v>
      </x:c>
      <x:c r="X2" s="96" t="str">
        <x:v>ASUS・MSI・GIGABYTE・SAPPHIRE等の完全SKUを管理します。性能とVRAMはgpu_chip_idでGPUChipsを参照し、冷却・騒音・寸法・保証は個別ボード単位で評価します。</x:v>
      </x:c>
      <x:c r="Y2" s="96" t="str">
        <x:v>ASUS・MSI・GIGABYTE・SAPPHIRE等の完全SKUを管理します。性能とVRAMはgpu_chip_idでGPUChipsを参照し、冷却・騒音・寸法・保証は個別ボード単位で評価します。</x:v>
      </x:c>
      <x:c r="Z2" s="96" t="str">
        <x:v>ASUS・MSI・GIGABYTE・SAPPHIRE等の完全SKUを管理します。性能とVRAMはgpu_chip_idでGPUChipsを参照し、冷却・騒音・寸法・保証は個別ボード単位で評価します。</x:v>
      </x:c>
      <x:c r="AA2" s="96" t="str">
        <x:v>ASUS・MSI・GIGABYTE・SAPPHIRE等の完全SKUを管理します。性能とVRAMはgpu_chip_idでGPUChipsを参照し、冷却・騒音・寸法・保証は個別ボード単位で評価します。</x:v>
      </x:c>
      <x:c r="AB2" s="96" t="str">
        <x:v>ASUS・MSI・GIGABYTE・SAPPHIRE等の完全SKUを管理します。性能とVRAMはgpu_chip_idでGPUChipsを参照し、冷却・騒音・寸法・保証は個別ボード単位で評価します。</x:v>
      </x:c>
      <x:c r="AC2" s="96" t="str">
        <x:v>ASUS・MSI・GIGABYTE・SAPPHIRE等の完全SKUを管理します。性能とVRAMはgpu_chip_idでGPUChipsを参照し、冷却・騒音・寸法・保証は個別ボード単位で評価します。</x:v>
      </x:c>
      <x:c r="AD2" s="96" t="str">
        <x:v>ASUS・MSI・GIGABYTE・SAPPHIRE等の完全SKUを管理します。性能とVRAMはgpu_chip_idでGPUChipsを参照し、冷却・騒音・寸法・保証は個別ボード単位で評価します。</x:v>
      </x:c>
      <x:c r="AE2" s="96" t="str">
        <x:v>ASUS・MSI・GIGABYTE・SAPPHIRE等の完全SKUを管理します。性能とVRAMはgpu_chip_idでGPUChipsを参照し、冷却・騒音・寸法・保証は個別ボード単位で評価します。</x:v>
      </x:c>
      <x:c r="AF2" s="96" t="str">
        <x:v>ASUS・MSI・GIGABYTE・SAPPHIRE等の完全SKUを管理します。性能とVRAMはgpu_chip_idでGPUChipsを参照し、冷却・騒音・寸法・保証は個別ボード単位で評価します。</x:v>
      </x:c>
      <x:c r="AG2" s="96" t="str">
        <x:v>ASUS・MSI・GIGABYTE・SAPPHIRE等の完全SKUを管理します。性能とVRAMはgpu_chip_idでGPUChipsを参照し、冷却・騒音・寸法・保証は個別ボード単位で評価します。</x:v>
      </x:c>
      <x:c r="AH2" s="96" t="str">
        <x:v>ASUS・MSI・GIGABYTE・SAPPHIRE等の完全SKUを管理します。性能とVRAMはgpu_chip_idでGPUChipsを参照し、冷却・騒音・寸法・保証は個別ボード単位で評価します。</x:v>
      </x:c>
    </x:row>
    <x:row r="4" ht="42" customHeight="1">
      <x:c r="A4" s="101" t="str">
        <x:v>product_id</x:v>
      </x:c>
      <x:c r="B4" s="101" t="str">
        <x:v>brand</x:v>
      </x:c>
      <x:c r="C4" s="101" t="str">
        <x:v>model</x:v>
      </x:c>
      <x:c r="D4" s="101" t="str">
        <x:v>display_name</x:v>
      </x:c>
      <x:c r="E4" s="101" t="str">
        <x:v>primary_asin</x:v>
      </x:c>
      <x:c r="F4" s="101" t="str">
        <x:v>primary_jan</x:v>
      </x:c>
      <x:c r="G4" s="101" t="str">
        <x:v>part_number</x:v>
      </x:c>
      <x:c r="H4" s="101" t="str">
        <x:v>kakaku_product_id</x:v>
      </x:c>
      <x:c r="I4" s="101" t="str">
        <x:v>aliases</x:v>
      </x:c>
      <x:c r="J4" s="101" t="str">
        <x:v>status</x:v>
      </x:c>
      <x:c r="K4" s="101" t="str">
        <x:v>tier</x:v>
      </x:c>
      <x:c r="L4" s="101" t="str">
        <x:v>reviewed_at</x:v>
      </x:c>
      <x:c r="M4" s="101" t="str">
        <x:v>quality_summary</x:v>
      </x:c>
      <x:c r="N4" s="101" t="str">
        <x:v>strengths</x:v>
      </x:c>
      <x:c r="O4" s="101" t="str">
        <x:v>weaknesses</x:v>
      </x:c>
      <x:c r="P4" s="101" t="str">
        <x:v>risk_summary</x:v>
      </x:c>
      <x:c r="Q4" s="101" t="str">
        <x:v>notes</x:v>
      </x:c>
      <x:c r="R4" s="101" t="str">
        <x:v>gpu_chip_id</x:v>
      </x:c>
      <x:c r="S4" s="101" t="str">
        <x:v>board_series</x:v>
      </x:c>
      <x:c r="T4" s="101" t="str">
        <x:v>board_model</x:v>
      </x:c>
      <x:c r="U4" s="101" t="str">
        <x:v>revision</x:v>
      </x:c>
      <x:c r="V4" s="101" t="str">
        <x:v>cooler_design_id</x:v>
      </x:c>
      <x:c r="W4" s="101" t="str">
        <x:v>factory_oc</x:v>
      </x:c>
      <x:c r="X4" s="101" t="str">
        <x:v>reference_design</x:v>
      </x:c>
      <x:c r="Y4" s="101" t="str">
        <x:v>domestic_distributor</x:v>
      </x:c>
      <x:c r="Z4" s="101" t="str">
        <x:v>domestic_warranty_years</x:v>
      </x:c>
      <x:c r="AA4" s="101" t="str">
        <x:v>cooler_noise_class</x:v>
      </x:c>
      <x:c r="AB4" s="101" t="str">
        <x:v>fan_count</x:v>
      </x:c>
      <x:c r="AC4" s="101" t="str">
        <x:v>slot_width</x:v>
      </x:c>
      <x:c r="AD4" s="101" t="str">
        <x:v>power_connector_standard</x:v>
      </x:c>
      <x:c r="AE4" s="101" t="str">
        <x:v>cooler_quality_tier</x:v>
      </x:c>
      <x:c r="AF4" s="101" t="str">
        <x:v>length_mm</x:v>
      </x:c>
      <x:c r="AG4" s="101" t="str">
        <x:v>tdp_w</x:v>
      </x:c>
      <x:c r="AH4" s="101" t="str">
        <x:v>release_date</x:v>
      </x:c>
    </x:row>
    <x:row r="5" ht="38" customHeight="1">
      <x:c r="A5" s="12" t="str">
        <x:v>gpu-asus-dual-rtx2060-6g-evo</x:v>
      </x:c>
      <x:c r="B5" s="12" t="str">
        <x:v>ASUS</x:v>
      </x:c>
      <x:c r="C5" s="12" t="str">
        <x:v>DUAL-RTX2060-6G-EVO</x:v>
      </x:c>
      <x:c r="D5" s="12" t="str">
        <x:v>ASUS Dual GeForce RTX 2060 6GB EVO</x:v>
      </x:c>
      <x:c r="E5" s="12"/>
      <x:c r="F5" s="12"/>
      <x:c r="G5" s="12" t="str">
        <x:v>DUAL-RTX2060-6G-EVO</x:v>
      </x:c>
      <x:c r="H5" s="12"/>
      <x:c r="I5" s="12" t="str">
        <x:v>ASUS Dual GeForce RTX 2060 6GB EVO</x:v>
      </x:c>
      <x:c r="J5" s="12" t="str">
        <x:v>research_required</x:v>
      </x:c>
      <x:c r="K5" s="12" t="str">
        <x:v>unrated</x:v>
      </x:c>
      <x:c r="L5" s="102" t="n">
        <x:v>46219</x:v>
      </x:c>
      <x:c r="M5" s="14" t="str">
        <x:v>メーカー公式仕様で完全型番・搭載GPU・物理仕様を確認。独立レビューと国内保証は未確認のため品質未評価。</x:v>
      </x:c>
      <x:c r="N5" s="14" t="str">
        <x:v>242mm長
デュアルファン
8ピン補助電源1本</x:v>
      </x:c>
      <x:c r="O5" s="14" t="str">
        <x:v>独立レビュー未確認
実測騒音未確認
国内代理店・保証条件未確認</x:v>
      </x:c>
      <x:c r="P5" s="14" t="str">
        <x:v>旧世代・終売流通を含むため、中古・開封品・改版・保証残存期間の確認が必要</x:v>
      </x:c>
      <x:c r="Q5" s="14" t="str">
        <x:v>メーカー公式仕様を初期登録。ASIN・JAN・価格.com IDは未確認。購入監視に使う前に販売ページの完全型番、状態、国内保証、リビジョンを照合してください。</x:v>
      </x:c>
      <x:c r="R5" s="12" t="str">
        <x:v>nvidia-geforce-rtx-2060-6gb</x:v>
      </x:c>
      <x:c r="S5" s="12" t="str">
        <x:v>Dual EVO</x:v>
      </x:c>
      <x:c r="T5" s="12" t="str">
        <x:v>DUAL-RTX2060-6G-EVO</x:v>
      </x:c>
      <x:c r="U5" s="12"/>
      <x:c r="V5" s="12" t="str">
        <x:v>asus-dual-rtx2060-evo</x:v>
      </x:c>
      <x:c r="W5" s="13" t="b">
        <x:v>0</x:v>
      </x:c>
      <x:c r="X5" s="13" t="b">
        <x:v>0</x:v>
      </x:c>
      <x:c r="Y5" s="12"/>
      <x:c r="Z5" s="103"/>
      <x:c r="AA5" s="12" t="str">
        <x:v>unknown</x:v>
      </x:c>
      <x:c r="AB5" s="104" t="n">
        <x:v>2</x:v>
      </x:c>
      <x:c r="AC5" s="103" t="n">
        <x:v>2.5</x:v>
      </x:c>
      <x:c r="AD5" s="12" t="str">
        <x:v>8pin</x:v>
      </x:c>
      <x:c r="AE5" s="12" t="str">
        <x:v>unrated</x:v>
      </x:c>
      <x:c r="AF5" s="105" t="n">
        <x:v>242</x:v>
      </x:c>
      <x:c r="AG5" s="105"/>
      <x:c r="AH5" s="102"/>
    </x:row>
    <x:row r="6" ht="38" customHeight="1">
      <x:c r="A6" s="12" t="str">
        <x:v>gpu-asus-dual-rtx3060-o12g-v2</x:v>
      </x:c>
      <x:c r="B6" s="12" t="str">
        <x:v>ASUS</x:v>
      </x:c>
      <x:c r="C6" s="12" t="str">
        <x:v>DUAL-RTX3060-O12G-V2</x:v>
      </x:c>
      <x:c r="D6" s="12" t="str">
        <x:v>ASUS Dual GeForce RTX 3060 V2 OC Edition 12GB</x:v>
      </x:c>
      <x:c r="E6" s="12"/>
      <x:c r="F6" s="12"/>
      <x:c r="G6" s="12" t="str">
        <x:v>DUAL-RTX3060-O12G-V2</x:v>
      </x:c>
      <x:c r="H6" s="12"/>
      <x:c r="I6" s="12" t="str">
        <x:v>ASUS Dual GeForce RTX 3060 V2 OC Edition 12GB</x:v>
      </x:c>
      <x:c r="J6" s="12" t="str">
        <x:v>research_required</x:v>
      </x:c>
      <x:c r="K6" s="12" t="str">
        <x:v>unrated</x:v>
      </x:c>
      <x:c r="L6" s="102" t="n">
        <x:v>46219</x:v>
      </x:c>
      <x:c r="M6" s="14" t="str">
        <x:v>メーカー公式仕様で完全型番・搭載GPU・物理仕様を確認。独立レビューと国内保証は未確認のため品質未評価。</x:v>
      </x:c>
      <x:c r="N6" s="14" t="str">
        <x:v>200mm長
2スロット
8ピン補助電源1本</x:v>
      </x:c>
      <x:c r="O6" s="14" t="str">
        <x:v>独立レビュー未確認
実測騒音未確認
国内代理店・保証条件未確認</x:v>
      </x:c>
      <x:c r="P6" s="14" t="str">
        <x:v>旧世代・終売流通を含むため、中古・開封品・改版・保証残存期間の確認が必要</x:v>
      </x:c>
      <x:c r="Q6" s="14" t="str">
        <x:v>メーカー公式仕様を初期登録。ASIN・JAN・価格.com IDは未確認。購入監視に使う前に販売ページの完全型番、状態、国内保証、リビジョンを照合してください。</x:v>
      </x:c>
      <x:c r="R6" s="12" t="str">
        <x:v>nvidia-geforce-rtx-3060-12gb</x:v>
      </x:c>
      <x:c r="S6" s="12" t="str">
        <x:v>Dual V2</x:v>
      </x:c>
      <x:c r="T6" s="12" t="str">
        <x:v>DUAL-RTX3060-O12G-V2</x:v>
      </x:c>
      <x:c r="U6" s="12" t="str">
        <x:v>V2</x:v>
      </x:c>
      <x:c r="V6" s="12" t="str">
        <x:v>asus-dual-rtx3060-v2</x:v>
      </x:c>
      <x:c r="W6" s="13" t="b">
        <x:v>1</x:v>
      </x:c>
      <x:c r="X6" s="13" t="b">
        <x:v>0</x:v>
      </x:c>
      <x:c r="Y6" s="12"/>
      <x:c r="Z6" s="103"/>
      <x:c r="AA6" s="12" t="str">
        <x:v>unknown</x:v>
      </x:c>
      <x:c r="AB6" s="104" t="n">
        <x:v>2</x:v>
      </x:c>
      <x:c r="AC6" s="103" t="n">
        <x:v>2</x:v>
      </x:c>
      <x:c r="AD6" s="12" t="str">
        <x:v>8pin</x:v>
      </x:c>
      <x:c r="AE6" s="12" t="str">
        <x:v>unrated</x:v>
      </x:c>
      <x:c r="AF6" s="105" t="n">
        <x:v>200</x:v>
      </x:c>
      <x:c r="AG6" s="105"/>
      <x:c r="AH6" s="102"/>
    </x:row>
    <x:row r="7" ht="38" customHeight="1">
      <x:c r="A7" s="12" t="str">
        <x:v>gpu-asus-dual-rtx4060-o8g</x:v>
      </x:c>
      <x:c r="B7" s="12" t="str">
        <x:v>ASUS</x:v>
      </x:c>
      <x:c r="C7" s="12" t="str">
        <x:v>DUAL-RTX4060-O8G</x:v>
      </x:c>
      <x:c r="D7" s="12" t="str">
        <x:v>ASUS Dual GeForce RTX 4060 OC Edition 8GB</x:v>
      </x:c>
      <x:c r="E7" s="12"/>
      <x:c r="F7" s="12"/>
      <x:c r="G7" s="12" t="str">
        <x:v>DUAL-RTX4060-O8G</x:v>
      </x:c>
      <x:c r="H7" s="12"/>
      <x:c r="I7" s="12" t="str">
        <x:v>ASUS Dual GeForce RTX 4060 OC Edition 8GB</x:v>
      </x:c>
      <x:c r="J7" s="12" t="str">
        <x:v>research_required</x:v>
      </x:c>
      <x:c r="K7" s="12" t="str">
        <x:v>unrated</x:v>
      </x:c>
      <x:c r="L7" s="102" t="n">
        <x:v>46219</x:v>
      </x:c>
      <x:c r="M7" s="14" t="str">
        <x:v>メーカー公式仕様で完全型番・搭載GPU・物理仕様を確認。独立レビューと国内保証は未確認のため品質未評価。</x:v>
      </x:c>
      <x:c r="N7" s="14" t="str">
        <x:v>227.2mm長
デュアルファン
8ピン補助電源1本</x:v>
      </x:c>
      <x:c r="O7" s="14" t="str">
        <x:v>独立レビュー未確認
実測騒音未確認
国内代理店・保証条件未確認</x:v>
      </x:c>
      <x:c r="P7" s="14" t="str">
        <x:v>同名別型番・地域差・国内流通保証・販売ページ上の完全型番の確認が必要</x:v>
      </x:c>
      <x:c r="Q7" s="14" t="str">
        <x:v>メーカー公式仕様を初期登録。ASIN・JAN・価格.com IDは未確認。購入監視に使う前に販売ページの完全型番、状態、国内保証、リビジョンを照合してください。</x:v>
      </x:c>
      <x:c r="R7" s="12" t="str">
        <x:v>nvidia-geforce-rtx-4060</x:v>
      </x:c>
      <x:c r="S7" s="12" t="str">
        <x:v>Dual</x:v>
      </x:c>
      <x:c r="T7" s="12" t="str">
        <x:v>DUAL-RTX4060-O8G</x:v>
      </x:c>
      <x:c r="U7" s="12"/>
      <x:c r="V7" s="12" t="str">
        <x:v>asus-dual-rtx4060</x:v>
      </x:c>
      <x:c r="W7" s="13" t="b">
        <x:v>1</x:v>
      </x:c>
      <x:c r="X7" s="13" t="b">
        <x:v>0</x:v>
      </x:c>
      <x:c r="Y7" s="12"/>
      <x:c r="Z7" s="103"/>
      <x:c r="AA7" s="12" t="str">
        <x:v>unknown</x:v>
      </x:c>
      <x:c r="AB7" s="104" t="n">
        <x:v>2</x:v>
      </x:c>
      <x:c r="AC7" s="103" t="n">
        <x:v>2.5</x:v>
      </x:c>
      <x:c r="AD7" s="12" t="str">
        <x:v>8pin</x:v>
      </x:c>
      <x:c r="AE7" s="12" t="str">
        <x:v>unrated</x:v>
      </x:c>
      <x:c r="AF7" s="105" t="n">
        <x:v>227.2</x:v>
      </x:c>
      <x:c r="AG7" s="105"/>
      <x:c r="AH7" s="102"/>
    </x:row>
    <x:row r="8" ht="38" customHeight="1">
      <x:c r="A8" s="12" t="str">
        <x:v>gpu-asus-dual-rtx5060-o8g</x:v>
      </x:c>
      <x:c r="B8" s="12" t="str">
        <x:v>ASUS</x:v>
      </x:c>
      <x:c r="C8" s="12" t="str">
        <x:v>DUAL-RTX5060-O8G</x:v>
      </x:c>
      <x:c r="D8" s="12" t="str">
        <x:v>ASUS Dual GeForce RTX 5060 8GB OC Edition</x:v>
      </x:c>
      <x:c r="E8" s="12"/>
      <x:c r="F8" s="12"/>
      <x:c r="G8" s="12" t="str">
        <x:v>DUAL-RTX5060-O8G</x:v>
      </x:c>
      <x:c r="H8" s="12"/>
      <x:c r="I8" s="12" t="str">
        <x:v>ASUS Dual GeForce RTX 5060 8GB OC Edition</x:v>
      </x:c>
      <x:c r="J8" s="12" t="str">
        <x:v>research_required</x:v>
      </x:c>
      <x:c r="K8" s="12" t="str">
        <x:v>unrated</x:v>
      </x:c>
      <x:c r="L8" s="102" t="n">
        <x:v>46219</x:v>
      </x:c>
      <x:c r="M8" s="14" t="str">
        <x:v>メーカー公式仕様で完全型番・搭載GPU・物理仕様を確認。独立レビューと国内保証は未確認のため品質未評価。</x:v>
      </x:c>
      <x:c r="N8" s="14" t="str">
        <x:v>228mm長
デュアルファン
8ピン補助電源1本</x:v>
      </x:c>
      <x:c r="O8" s="14" t="str">
        <x:v>独立レビュー未確認
実測騒音未確認
国内代理店・保証条件未確認</x:v>
      </x:c>
      <x:c r="P8" s="14" t="str">
        <x:v>同名別型番・地域差・国内流通保証・販売ページ上の完全型番の確認が必要</x:v>
      </x:c>
      <x:c r="Q8" s="14" t="str">
        <x:v>メーカー公式仕様を初期登録。ASIN・JAN・価格.com IDは未確認。購入監視に使う前に販売ページの完全型番、状態、国内保証、リビジョンを照合してください。</x:v>
      </x:c>
      <x:c r="R8" s="12" t="str">
        <x:v>nvidia-geforce-rtx-5060</x:v>
      </x:c>
      <x:c r="S8" s="12" t="str">
        <x:v>Dual</x:v>
      </x:c>
      <x:c r="T8" s="12" t="str">
        <x:v>DUAL-RTX5060-O8G</x:v>
      </x:c>
      <x:c r="U8" s="12"/>
      <x:c r="V8" s="12" t="str">
        <x:v>asus-dual-rtx5060</x:v>
      </x:c>
      <x:c r="W8" s="13" t="b">
        <x:v>1</x:v>
      </x:c>
      <x:c r="X8" s="13" t="b">
        <x:v>0</x:v>
      </x:c>
      <x:c r="Y8" s="12"/>
      <x:c r="Z8" s="103"/>
      <x:c r="AA8" s="12" t="str">
        <x:v>unknown</x:v>
      </x:c>
      <x:c r="AB8" s="104" t="n">
        <x:v>2</x:v>
      </x:c>
      <x:c r="AC8" s="103" t="n">
        <x:v>2.5</x:v>
      </x:c>
      <x:c r="AD8" s="12" t="str">
        <x:v>8pin</x:v>
      </x:c>
      <x:c r="AE8" s="12" t="str">
        <x:v>unrated</x:v>
      </x:c>
      <x:c r="AF8" s="105" t="n">
        <x:v>228</x:v>
      </x:c>
      <x:c r="AG8" s="105"/>
      <x:c r="AH8" s="102"/>
    </x:row>
    <x:row r="9" ht="38" customHeight="1">
      <x:c r="A9" s="12" t="str">
        <x:v>gpu-msi-rtx2060-gaming-z-6g</x:v>
      </x:c>
      <x:c r="B9" s="12" t="str">
        <x:v>MSI</x:v>
      </x:c>
      <x:c r="C9" s="12" t="str">
        <x:v>GeForce RTX 2060 GAMING Z 6G</x:v>
      </x:c>
      <x:c r="D9" s="12" t="str">
        <x:v>MSI GeForce RTX 2060 GAMING Z 6G</x:v>
      </x:c>
      <x:c r="E9" s="12"/>
      <x:c r="F9" s="12"/>
      <x:c r="G9" s="12" t="str">
        <x:v>GeForce RTX 2060 GAMING Z 6G</x:v>
      </x:c>
      <x:c r="H9" s="12"/>
      <x:c r="I9" s="12" t="str">
        <x:v>MSI GeForce RTX 2060 GAMING Z 6G</x:v>
      </x:c>
      <x:c r="J9" s="12" t="str">
        <x:v>research_required</x:v>
      </x:c>
      <x:c r="K9" s="12" t="str">
        <x:v>unrated</x:v>
      </x:c>
      <x:c r="L9" s="102" t="n">
        <x:v>46219</x:v>
      </x:c>
      <x:c r="M9" s="14" t="str">
        <x:v>メーカー公式仕様で完全型番・搭載GPU・物理仕様を確認。独立レビューと国内保証は未確認のため品質未評価。</x:v>
      </x:c>
      <x:c r="N9" s="14" t="str">
        <x:v>247mm長
デュアルファン
公式消費電力190W</x:v>
      </x:c>
      <x:c r="O9" s="14" t="str">
        <x:v>独立レビュー未確認
実測騒音未確認
国内代理店・保証条件未確認</x:v>
      </x:c>
      <x:c r="P9" s="14" t="str">
        <x:v>旧世代・終売流通を含むため、中古・開封品・改版・保証残存期間の確認が必要</x:v>
      </x:c>
      <x:c r="Q9" s="14" t="str">
        <x:v>メーカー公式仕様を初期登録。ASIN・JAN・価格.com IDは未確認。購入監視に使う前に販売ページの完全型番、状態、国内保証、リビジョンを照合してください。</x:v>
      </x:c>
      <x:c r="R9" s="12" t="str">
        <x:v>nvidia-geforce-rtx-2060-6gb</x:v>
      </x:c>
      <x:c r="S9" s="12" t="str">
        <x:v>GAMING Z</x:v>
      </x:c>
      <x:c r="T9" s="12" t="str">
        <x:v>GeForce RTX 2060 GAMING Z 6G</x:v>
      </x:c>
      <x:c r="U9" s="12"/>
      <x:c r="V9" s="12" t="str">
        <x:v>msi-gaming-z-rtx2060</x:v>
      </x:c>
      <x:c r="W9" s="13" t="b">
        <x:v>1</x:v>
      </x:c>
      <x:c r="X9" s="13" t="b">
        <x:v>0</x:v>
      </x:c>
      <x:c r="Y9" s="12"/>
      <x:c r="Z9" s="103"/>
      <x:c r="AA9" s="12" t="str">
        <x:v>unknown</x:v>
      </x:c>
      <x:c r="AB9" s="104" t="n">
        <x:v>2</x:v>
      </x:c>
      <x:c r="AC9" s="103"/>
      <x:c r="AD9" s="12" t="str">
        <x:v>8pin</x:v>
      </x:c>
      <x:c r="AE9" s="12" t="str">
        <x:v>unrated</x:v>
      </x:c>
      <x:c r="AF9" s="105" t="n">
        <x:v>247</x:v>
      </x:c>
      <x:c r="AG9" s="105" t="n">
        <x:v>190</x:v>
      </x:c>
      <x:c r="AH9" s="102"/>
    </x:row>
    <x:row r="10" ht="38" customHeight="1">
      <x:c r="A10" s="12" t="str">
        <x:v>gpu-msi-rtx3060-ventus-2x-12g-oc</x:v>
      </x:c>
      <x:c r="B10" s="12" t="str">
        <x:v>MSI</x:v>
      </x:c>
      <x:c r="C10" s="12" t="str">
        <x:v>GeForce RTX 3060 VENTUS 2X 12G OC</x:v>
      </x:c>
      <x:c r="D10" s="12" t="str">
        <x:v>MSI GeForce RTX 3060 VENTUS 2X 12G OC</x:v>
      </x:c>
      <x:c r="E10" s="12"/>
      <x:c r="F10" s="12"/>
      <x:c r="G10" s="12" t="str">
        <x:v>GeForce RTX 3060 VENTUS 2X 12G OC</x:v>
      </x:c>
      <x:c r="H10" s="12"/>
      <x:c r="I10" s="12" t="str">
        <x:v>MSI GeForce RTX 3060 VENTUS 2X 12G OC</x:v>
      </x:c>
      <x:c r="J10" s="12" t="str">
        <x:v>research_required</x:v>
      </x:c>
      <x:c r="K10" s="12" t="str">
        <x:v>unrated</x:v>
      </x:c>
      <x:c r="L10" s="102" t="n">
        <x:v>46219</x:v>
      </x:c>
      <x:c r="M10" s="14" t="str">
        <x:v>メーカー公式仕様で完全型番・搭載GPU・物理仕様を確認。独立レビューと国内保証は未確認のため品質未評価。</x:v>
      </x:c>
      <x:c r="N10" s="14" t="str">
        <x:v>235mm長
デュアルファン
公式消費電力170W</x:v>
      </x:c>
      <x:c r="O10" s="14" t="str">
        <x:v>独立レビュー未確認
実測騒音未確認
国内代理店・保証条件未確認</x:v>
      </x:c>
      <x:c r="P10" s="14" t="str">
        <x:v>旧世代・終売流通を含むため、中古・開封品・改版・保証残存期間の確認が必要</x:v>
      </x:c>
      <x:c r="Q10" s="14" t="str">
        <x:v>メーカー公式仕様を初期登録。ASIN・JAN・価格.com IDは未確認。購入監視に使う前に販売ページの完全型番、状態、国内保証、リビジョンを照合してください。</x:v>
      </x:c>
      <x:c r="R10" s="12" t="str">
        <x:v>nvidia-geforce-rtx-3060-12gb</x:v>
      </x:c>
      <x:c r="S10" s="12" t="str">
        <x:v>VENTUS 2X</x:v>
      </x:c>
      <x:c r="T10" s="12" t="str">
        <x:v>GeForce RTX 3060 VENTUS 2X 12G OC</x:v>
      </x:c>
      <x:c r="U10" s="12"/>
      <x:c r="V10" s="12" t="str">
        <x:v>msi-ventus-2x-rtx3060</x:v>
      </x:c>
      <x:c r="W10" s="13" t="b">
        <x:v>1</x:v>
      </x:c>
      <x:c r="X10" s="13" t="b">
        <x:v>0</x:v>
      </x:c>
      <x:c r="Y10" s="12"/>
      <x:c r="Z10" s="103"/>
      <x:c r="AA10" s="12" t="str">
        <x:v>unknown</x:v>
      </x:c>
      <x:c r="AB10" s="104" t="n">
        <x:v>2</x:v>
      </x:c>
      <x:c r="AC10" s="103"/>
      <x:c r="AD10" s="12" t="str">
        <x:v>8pin</x:v>
      </x:c>
      <x:c r="AE10" s="12" t="str">
        <x:v>unrated</x:v>
      </x:c>
      <x:c r="AF10" s="105" t="n">
        <x:v>235</x:v>
      </x:c>
      <x:c r="AG10" s="105" t="n">
        <x:v>170</x:v>
      </x:c>
      <x:c r="AH10" s="102"/>
    </x:row>
    <x:row r="11" ht="38" customHeight="1">
      <x:c r="A11" s="12" t="str">
        <x:v>gpu-msi-rtx4070-super-gaming-x-slim-12g</x:v>
      </x:c>
      <x:c r="B11" s="12" t="str">
        <x:v>MSI</x:v>
      </x:c>
      <x:c r="C11" s="12" t="str">
        <x:v>GeForce RTX 4070 SUPER 12G GAMING X SLIM</x:v>
      </x:c>
      <x:c r="D11" s="12" t="str">
        <x:v>MSI GeForce RTX 4070 SUPER 12G GAMING X SLIM</x:v>
      </x:c>
      <x:c r="E11" s="12"/>
      <x:c r="F11" s="12"/>
      <x:c r="G11" s="12" t="str">
        <x:v>GeForce RTX 4070 SUPER 12G GAMING X SLIM</x:v>
      </x:c>
      <x:c r="H11" s="12"/>
      <x:c r="I11" s="12" t="str">
        <x:v>MSI GeForce RTX 4070 SUPER 12G GAMING X SLIM</x:v>
      </x:c>
      <x:c r="J11" s="12" t="str">
        <x:v>research_required</x:v>
      </x:c>
      <x:c r="K11" s="12" t="str">
        <x:v>unrated</x:v>
      </x:c>
      <x:c r="L11" s="102" t="n">
        <x:v>46219</x:v>
      </x:c>
      <x:c r="M11" s="14" t="str">
        <x:v>メーカー公式仕様で完全型番・搭載GPU・物理仕様を確認。独立レビューと国内保証は未確認のため品質未評価。</x:v>
      </x:c>
      <x:c r="N11" s="14" t="str">
        <x:v>トリプルファン
公式消費電力245W
16ピン補助電源1本</x:v>
      </x:c>
      <x:c r="O11" s="14" t="str">
        <x:v>独立レビュー未確認
実測騒音未確認
国内代理店・保証条件未確認</x:v>
      </x:c>
      <x:c r="P11" s="14" t="str">
        <x:v>同名別型番・地域差・国内流通保証・販売ページ上の完全型番の確認が必要</x:v>
      </x:c>
      <x:c r="Q11" s="14" t="str">
        <x:v>メーカー公式仕様を初期登録。ASIN・JAN・価格.com IDは未確認。購入監視に使う前に販売ページの完全型番、状態、国内保証、リビジョンを照合してください。</x:v>
      </x:c>
      <x:c r="R11" s="12" t="str">
        <x:v>nvidia-geforce-rtx-4070-super</x:v>
      </x:c>
      <x:c r="S11" s="12" t="str">
        <x:v>GAMING X SLIM</x:v>
      </x:c>
      <x:c r="T11" s="12" t="str">
        <x:v>GeForce RTX 4070 SUPER 12G GAMING X SLIM</x:v>
      </x:c>
      <x:c r="U11" s="12"/>
      <x:c r="V11" s="12" t="str">
        <x:v>msi-gaming-x-slim-rtx4070-super</x:v>
      </x:c>
      <x:c r="W11" s="13" t="b">
        <x:v>1</x:v>
      </x:c>
      <x:c r="X11" s="13" t="b">
        <x:v>0</x:v>
      </x:c>
      <x:c r="Y11" s="12"/>
      <x:c r="Z11" s="103"/>
      <x:c r="AA11" s="12" t="str">
        <x:v>unknown</x:v>
      </x:c>
      <x:c r="AB11" s="104" t="n">
        <x:v>3</x:v>
      </x:c>
      <x:c r="AC11" s="103"/>
      <x:c r="AD11" s="12" t="str">
        <x:v>16pin</x:v>
      </x:c>
      <x:c r="AE11" s="12" t="str">
        <x:v>unrated</x:v>
      </x:c>
      <x:c r="AF11" s="105" t="n">
        <x:v>307</x:v>
      </x:c>
      <x:c r="AG11" s="105" t="n">
        <x:v>245</x:v>
      </x:c>
      <x:c r="AH11" s="102"/>
    </x:row>
    <x:row r="12" ht="38" customHeight="1">
      <x:c r="A12" s="12" t="str">
        <x:v>gpu-msi-g5070-12gtc</x:v>
      </x:c>
      <x:c r="B12" s="12" t="str">
        <x:v>MSI</x:v>
      </x:c>
      <x:c r="C12" s="12" t="str">
        <x:v>G5070-12GTC</x:v>
      </x:c>
      <x:c r="D12" s="12" t="str">
        <x:v>MSI GeForce RTX 5070 12G GAMING TRIO OC</x:v>
      </x:c>
      <x:c r="E12" s="12"/>
      <x:c r="F12" s="12"/>
      <x:c r="G12" s="12" t="str">
        <x:v>G5070-12GTC</x:v>
      </x:c>
      <x:c r="H12" s="12"/>
      <x:c r="I12" s="12" t="str">
        <x:v>MSI GeForce RTX 5070 12G GAMING TRIO OC</x:v>
      </x:c>
      <x:c r="J12" s="12" t="str">
        <x:v>research_required</x:v>
      </x:c>
      <x:c r="K12" s="12" t="str">
        <x:v>unrated</x:v>
      </x:c>
      <x:c r="L12" s="102" t="n">
        <x:v>46219</x:v>
      </x:c>
      <x:c r="M12" s="14" t="str">
        <x:v>メーカー公式仕様で完全型番・搭載GPU・物理仕様を確認。独立レビューと国内保証は未確認のため品質未評価。</x:v>
      </x:c>
      <x:c r="N12" s="14" t="str">
        <x:v>トリプルファン
公式消費電力250W
製品型番G5070-12GTC</x:v>
      </x:c>
      <x:c r="O12" s="14" t="str">
        <x:v>独立レビュー未確認
実測騒音未確認
国内代理店・保証条件未確認</x:v>
      </x:c>
      <x:c r="P12" s="14" t="str">
        <x:v>同名別型番・地域差・国内流通保証・販売ページ上の完全型番の確認が必要</x:v>
      </x:c>
      <x:c r="Q12" s="14" t="str">
        <x:v>メーカー公式仕様を初期登録。ASIN・JAN・価格.com IDは未確認。購入監視に使う前に販売ページの完全型番、状態、国内保証、リビジョンを照合してください。</x:v>
      </x:c>
      <x:c r="R12" s="12" t="str">
        <x:v>nvidia-geforce-rtx-5070</x:v>
      </x:c>
      <x:c r="S12" s="12" t="str">
        <x:v>GAMING TRIO</x:v>
      </x:c>
      <x:c r="T12" s="12" t="str">
        <x:v>GeForce RTX 5070 12G GAMING TRIO OC</x:v>
      </x:c>
      <x:c r="U12" s="12"/>
      <x:c r="V12" s="12" t="str">
        <x:v>msi-gaming-trio-rtx5070</x:v>
      </x:c>
      <x:c r="W12" s="13" t="b">
        <x:v>1</x:v>
      </x:c>
      <x:c r="X12" s="13" t="b">
        <x:v>0</x:v>
      </x:c>
      <x:c r="Y12" s="12"/>
      <x:c r="Z12" s="103"/>
      <x:c r="AA12" s="12" t="str">
        <x:v>unknown</x:v>
      </x:c>
      <x:c r="AB12" s="104" t="n">
        <x:v>3</x:v>
      </x:c>
      <x:c r="AC12" s="103"/>
      <x:c r="AD12" s="12" t="str">
        <x:v>16pin</x:v>
      </x:c>
      <x:c r="AE12" s="12" t="str">
        <x:v>unrated</x:v>
      </x:c>
      <x:c r="AF12" s="105" t="n">
        <x:v>338</x:v>
      </x:c>
      <x:c r="AG12" s="105" t="n">
        <x:v>250</x:v>
      </x:c>
      <x:c r="AH12" s="102"/>
    </x:row>
    <x:row r="13" ht="38" customHeight="1">
      <x:c r="A13" s="12" t="str">
        <x:v>gpu-gigabyte-gv-n3060gaming-oc-12gd-rev-10</x:v>
      </x:c>
      <x:c r="B13" s="12" t="str">
        <x:v>GIGABYTE</x:v>
      </x:c>
      <x:c r="C13" s="12" t="str">
        <x:v>GV-N3060GAMING OC-12GD</x:v>
      </x:c>
      <x:c r="D13" s="12" t="str">
        <x:v>GIGABYTE GeForce RTX 3060 GAMING OC 12G Rev. 1.0</x:v>
      </x:c>
      <x:c r="E13" s="12"/>
      <x:c r="F13" s="12"/>
      <x:c r="G13" s="12" t="str">
        <x:v>GV-N3060GAMING OC-12GD</x:v>
      </x:c>
      <x:c r="H13" s="12"/>
      <x:c r="I13" s="12" t="str">
        <x:v>GIGABYTE GeForce RTX 3060 GAMING OC 12G Rev. 1.0</x:v>
      </x:c>
      <x:c r="J13" s="12" t="str">
        <x:v>research_required</x:v>
      </x:c>
      <x:c r="K13" s="12" t="str">
        <x:v>unrated</x:v>
      </x:c>
      <x:c r="L13" s="102" t="n">
        <x:v>46219</x:v>
      </x:c>
      <x:c r="M13" s="14" t="str">
        <x:v>メーカー公式仕様で完全型番・搭載GPU・物理仕様を確認。独立レビューと国内保証は未確認のため品質未評価。</x:v>
      </x:c>
      <x:c r="N13" s="14" t="str">
        <x:v>Rev. 1.0を明示
トリプルファン
8ピン補助電源1本</x:v>
      </x:c>
      <x:c r="O13" s="14" t="str">
        <x:v>独立レビュー未確認
実測騒音未確認
国内代理店・保証条件未確認</x:v>
      </x:c>
      <x:c r="P13" s="14" t="str">
        <x:v>旧世代・終売流通を含むため、中古・開封品・改版・保証残存期間の確認が必要</x:v>
      </x:c>
      <x:c r="Q13" s="14" t="str">
        <x:v>メーカー公式仕様を初期登録。ASIN・JAN・価格.com IDは未確認。購入監視に使う前に販売ページの完全型番、状態、国内保証、リビジョンを照合してください。</x:v>
      </x:c>
      <x:c r="R13" s="12" t="str">
        <x:v>nvidia-geforce-rtx-3060-12gb</x:v>
      </x:c>
      <x:c r="S13" s="12" t="str">
        <x:v>GAMING OC</x:v>
      </x:c>
      <x:c r="T13" s="12" t="str">
        <x:v>GV-N3060GAMING OC-12GD</x:v>
      </x:c>
      <x:c r="U13" s="12" t="str">
        <x:v>1.0</x:v>
      </x:c>
      <x:c r="V13" s="12" t="str">
        <x:v>gigabyte-gaming-oc-rtx3060-rev1</x:v>
      </x:c>
      <x:c r="W13" s="13" t="b">
        <x:v>1</x:v>
      </x:c>
      <x:c r="X13" s="13" t="b">
        <x:v>0</x:v>
      </x:c>
      <x:c r="Y13" s="12"/>
      <x:c r="Z13" s="103"/>
      <x:c r="AA13" s="12" t="str">
        <x:v>unknown</x:v>
      </x:c>
      <x:c r="AB13" s="104" t="n">
        <x:v>3</x:v>
      </x:c>
      <x:c r="AC13" s="103"/>
      <x:c r="AD13" s="12" t="str">
        <x:v>8pin</x:v>
      </x:c>
      <x:c r="AE13" s="12" t="str">
        <x:v>unrated</x:v>
      </x:c>
      <x:c r="AF13" s="105" t="n">
        <x:v>282</x:v>
      </x:c>
      <x:c r="AG13" s="105"/>
      <x:c r="AH13" s="102"/>
    </x:row>
    <x:row r="14" ht="38" customHeight="1">
      <x:c r="A14" s="12" t="str">
        <x:v>gpu-gigabyte-gv-n5070gaming-oc-12gd</x:v>
      </x:c>
      <x:c r="B14" s="12" t="str">
        <x:v>GIGABYTE</x:v>
      </x:c>
      <x:c r="C14" s="12" t="str">
        <x:v>GV-N5070GAMING OC-12GD</x:v>
      </x:c>
      <x:c r="D14" s="12" t="str">
        <x:v>GIGABYTE GeForce RTX 5070 GAMING OC 12G</x:v>
      </x:c>
      <x:c r="E14" s="12"/>
      <x:c r="F14" s="12"/>
      <x:c r="G14" s="12" t="str">
        <x:v>GV-N5070GAMING OC-12GD</x:v>
      </x:c>
      <x:c r="H14" s="12"/>
      <x:c r="I14" s="12" t="str">
        <x:v>GIGABYTE GeForce RTX 5070 GAMING OC 12G</x:v>
      </x:c>
      <x:c r="J14" s="12" t="str">
        <x:v>research_required</x:v>
      </x:c>
      <x:c r="K14" s="12" t="str">
        <x:v>unrated</x:v>
      </x:c>
      <x:c r="L14" s="102" t="n">
        <x:v>46219</x:v>
      </x:c>
      <x:c r="M14" s="14" t="str">
        <x:v>メーカー公式仕様で完全型番・搭載GPU・物理仕様を確認。独立レビューと国内保証は未確認のため品質未評価。</x:v>
      </x:c>
      <x:c r="N14" s="14" t="str">
        <x:v>トリプルファン
12V-2x6補助電源
製品型番を公式確認</x:v>
      </x:c>
      <x:c r="O14" s="14" t="str">
        <x:v>独立レビュー未確認
実測騒音未確認
国内代理店・保証条件未確認</x:v>
      </x:c>
      <x:c r="P14" s="14" t="str">
        <x:v>同名別型番・地域差・国内流通保証・販売ページ上の完全型番の確認が必要</x:v>
      </x:c>
      <x:c r="Q14" s="14" t="str">
        <x:v>メーカー公式仕様を初期登録。ASIN・JAN・価格.com IDは未確認。購入監視に使う前に販売ページの完全型番、状態、国内保証、リビジョンを照合してください。</x:v>
      </x:c>
      <x:c r="R14" s="12" t="str">
        <x:v>nvidia-geforce-rtx-5070</x:v>
      </x:c>
      <x:c r="S14" s="12" t="str">
        <x:v>GAMING OC</x:v>
      </x:c>
      <x:c r="T14" s="12" t="str">
        <x:v>GV-N5070GAMING OC-12GD</x:v>
      </x:c>
      <x:c r="U14" s="12"/>
      <x:c r="V14" s="12" t="str">
        <x:v>gigabyte-gaming-oc-rtx5070</x:v>
      </x:c>
      <x:c r="W14" s="13" t="b">
        <x:v>1</x:v>
      </x:c>
      <x:c r="X14" s="13" t="b">
        <x:v>0</x:v>
      </x:c>
      <x:c r="Y14" s="12"/>
      <x:c r="Z14" s="103"/>
      <x:c r="AA14" s="12" t="str">
        <x:v>unknown</x:v>
      </x:c>
      <x:c r="AB14" s="104" t="n">
        <x:v>3</x:v>
      </x:c>
      <x:c r="AC14" s="103"/>
      <x:c r="AD14" s="12" t="str">
        <x:v>12V-2x6</x:v>
      </x:c>
      <x:c r="AE14" s="12" t="str">
        <x:v>unrated</x:v>
      </x:c>
      <x:c r="AF14" s="105" t="n">
        <x:v>327</x:v>
      </x:c>
      <x:c r="AG14" s="105"/>
      <x:c r="AH14" s="102"/>
    </x:row>
    <x:row r="15" ht="38" customHeight="1">
      <x:c r="A15" s="12" t="str">
        <x:v>gpu-gigabyte-gv-r9070xtgaming-oc-16gd</x:v>
      </x:c>
      <x:c r="B15" s="12" t="str">
        <x:v>GIGABYTE</x:v>
      </x:c>
      <x:c r="C15" s="12" t="str">
        <x:v>GV-R9070XTGAMING OC-16GD</x:v>
      </x:c>
      <x:c r="D15" s="12" t="str">
        <x:v>GIGABYTE Radeon RX 9070 XT GAMING OC 16G</x:v>
      </x:c>
      <x:c r="E15" s="12"/>
      <x:c r="F15" s="12"/>
      <x:c r="G15" s="12" t="str">
        <x:v>GV-R9070XTGAMING OC-16GD</x:v>
      </x:c>
      <x:c r="H15" s="12"/>
      <x:c r="I15" s="12" t="str">
        <x:v>GIGABYTE Radeon RX 9070 XT GAMING OC 16G</x:v>
      </x:c>
      <x:c r="J15" s="12" t="str">
        <x:v>research_required</x:v>
      </x:c>
      <x:c r="K15" s="12" t="str">
        <x:v>unrated</x:v>
      </x:c>
      <x:c r="L15" s="102" t="n">
        <x:v>46219</x:v>
      </x:c>
      <x:c r="M15" s="14" t="str">
        <x:v>メーカー公式仕様で完全型番・搭載GPU・物理仕様を確認。独立レビューと国内保証は未確認のため品質未評価。</x:v>
      </x:c>
      <x:c r="N15" s="14" t="str">
        <x:v>288mm長
トリプルファン
8ピン補助電源3本</x:v>
      </x:c>
      <x:c r="O15" s="14" t="str">
        <x:v>独立レビュー未確認
実測騒音未確認
国内代理店・保証条件未確認</x:v>
      </x:c>
      <x:c r="P15" s="14" t="str">
        <x:v>同名別型番・地域差・国内流通保証・販売ページ上の完全型番の確認が必要</x:v>
      </x:c>
      <x:c r="Q15" s="14" t="str">
        <x:v>メーカー公式仕様を初期登録。ASIN・JAN・価格.com IDは未確認。購入監視に使う前に販売ページの完全型番、状態、国内保証、リビジョンを照合してください。</x:v>
      </x:c>
      <x:c r="R15" s="12" t="str">
        <x:v>amd-radeon-rx-9070-xt</x:v>
      </x:c>
      <x:c r="S15" s="12" t="str">
        <x:v>GAMING OC</x:v>
      </x:c>
      <x:c r="T15" s="12" t="str">
        <x:v>GV-R9070XTGAMING OC-16GD</x:v>
      </x:c>
      <x:c r="U15" s="12"/>
      <x:c r="V15" s="12" t="str">
        <x:v>gigabyte-gaming-oc-rx9070xt</x:v>
      </x:c>
      <x:c r="W15" s="13" t="b">
        <x:v>1</x:v>
      </x:c>
      <x:c r="X15" s="13" t="b">
        <x:v>0</x:v>
      </x:c>
      <x:c r="Y15" s="12"/>
      <x:c r="Z15" s="103"/>
      <x:c r="AA15" s="12" t="str">
        <x:v>unknown</x:v>
      </x:c>
      <x:c r="AB15" s="104" t="n">
        <x:v>3</x:v>
      </x:c>
      <x:c r="AC15" s="103"/>
      <x:c r="AD15" s="12" t="str">
        <x:v>3x8pin</x:v>
      </x:c>
      <x:c r="AE15" s="12" t="str">
        <x:v>unrated</x:v>
      </x:c>
      <x:c r="AF15" s="105" t="n">
        <x:v>288</x:v>
      </x:c>
      <x:c r="AG15" s="105"/>
      <x:c r="AH15" s="102"/>
    </x:row>
    <x:row r="16" ht="38" customHeight="1">
      <x:c r="A16" s="12" t="str">
        <x:v>gpu-sapphire-11310-01-20g</x:v>
      </x:c>
      <x:c r="B16" s="12" t="str">
        <x:v>SAPPHIRE</x:v>
      </x:c>
      <x:c r="C16" s="12" t="str">
        <x:v>11310-01-20G</x:v>
      </x:c>
      <x:c r="D16" s="12" t="str">
        <x:v>SAPPHIRE PULSE AMD Radeon RX 6600 8GB</x:v>
      </x:c>
      <x:c r="E16" s="12"/>
      <x:c r="F16" s="12"/>
      <x:c r="G16" s="12" t="str">
        <x:v>11310-01-20G</x:v>
      </x:c>
      <x:c r="H16" s="12"/>
      <x:c r="I16" s="12" t="str">
        <x:v>SAPPHIRE PULSE AMD Radeon RX 6600 8GB</x:v>
      </x:c>
      <x:c r="J16" s="12" t="str">
        <x:v>research_required</x:v>
      </x:c>
      <x:c r="K16" s="12" t="str">
        <x:v>unrated</x:v>
      </x:c>
      <x:c r="L16" s="102" t="n">
        <x:v>46219</x:v>
      </x:c>
      <x:c r="M16" s="14" t="str">
        <x:v>メーカー公式仕様で完全型番・搭載GPU・物理仕様を確認。独立レビューと国内保証は未確認のため品質未評価。</x:v>
      </x:c>
      <x:c r="N16" s="14" t="str">
        <x:v>193mm長
2スロット
公式ボード電力140W</x:v>
      </x:c>
      <x:c r="O16" s="14" t="str">
        <x:v>独立レビュー未確認
実測騒音未確認
国内代理店・保証条件未確認</x:v>
      </x:c>
      <x:c r="P16" s="14" t="str">
        <x:v>旧世代・終売流通を含むため、中古・開封品・改版・保証残存期間の確認が必要</x:v>
      </x:c>
      <x:c r="Q16" s="14" t="str">
        <x:v>メーカー公式仕様を初期登録。ASIN・JAN・価格.com IDは未確認。購入監視に使う前に販売ページの完全型番、状態、国内保証、リビジョンを照合してください。</x:v>
      </x:c>
      <x:c r="R16" s="12" t="str">
        <x:v>amd-radeon-rx-6600</x:v>
      </x:c>
      <x:c r="S16" s="12" t="str">
        <x:v>PULSE</x:v>
      </x:c>
      <x:c r="T16" s="12" t="str">
        <x:v>PULSE Radeon RX 6600 8GB</x:v>
      </x:c>
      <x:c r="U16" s="12"/>
      <x:c r="V16" s="12" t="str">
        <x:v>sapphire-dual-x-pulse-rx6600</x:v>
      </x:c>
      <x:c r="W16" s="13" t="b">
        <x:v>0</x:v>
      </x:c>
      <x:c r="X16" s="13" t="b">
        <x:v>0</x:v>
      </x:c>
      <x:c r="Y16" s="12"/>
      <x:c r="Z16" s="103"/>
      <x:c r="AA16" s="12" t="str">
        <x:v>unknown</x:v>
      </x:c>
      <x:c r="AB16" s="104" t="n">
        <x:v>2</x:v>
      </x:c>
      <x:c r="AC16" s="103" t="n">
        <x:v>2</x:v>
      </x:c>
      <x:c r="AD16" s="12" t="str">
        <x:v>8pin</x:v>
      </x:c>
      <x:c r="AE16" s="12" t="str">
        <x:v>unrated</x:v>
      </x:c>
      <x:c r="AF16" s="105" t="n">
        <x:v>193</x:v>
      </x:c>
      <x:c r="AG16" s="105" t="n">
        <x:v>140</x:v>
      </x:c>
      <x:c r="AH16" s="102"/>
    </x:row>
    <x:row r="17" ht="38" customHeight="1">
      <x:c r="A17" s="12" t="str">
        <x:v>gpu-sapphire-11324-01-20g</x:v>
      </x:c>
      <x:c r="B17" s="12" t="str">
        <x:v>SAPPHIRE</x:v>
      </x:c>
      <x:c r="C17" s="12" t="str">
        <x:v>11324-01-20G</x:v>
      </x:c>
      <x:c r="D17" s="12" t="str">
        <x:v>SAPPHIRE PULSE AMD Radeon RX 7600 8GB</x:v>
      </x:c>
      <x:c r="E17" s="12"/>
      <x:c r="F17" s="12"/>
      <x:c r="G17" s="12" t="str">
        <x:v>11324-01-20G</x:v>
      </x:c>
      <x:c r="H17" s="12"/>
      <x:c r="I17" s="12" t="str">
        <x:v>SAPPHIRE PULSE AMD Radeon RX 7600 8GB</x:v>
      </x:c>
      <x:c r="J17" s="12" t="str">
        <x:v>research_required</x:v>
      </x:c>
      <x:c r="K17" s="12" t="str">
        <x:v>unrated</x:v>
      </x:c>
      <x:c r="L17" s="102" t="n">
        <x:v>46219</x:v>
      </x:c>
      <x:c r="M17" s="14" t="str">
        <x:v>メーカー公式仕様で完全型番・搭載GPU・物理仕様を確認。独立レビューと国内保証は未確認のため品質未評価。</x:v>
      </x:c>
      <x:c r="N17" s="14" t="str">
        <x:v>240mm長
2スロット
公式ボード電力185W</x:v>
      </x:c>
      <x:c r="O17" s="14" t="str">
        <x:v>独立レビュー未確認
実測騒音未確認
国内代理店・保証条件未確認</x:v>
      </x:c>
      <x:c r="P17" s="14" t="str">
        <x:v>同名別型番・地域差・国内流通保証・販売ページ上の完全型番の確認が必要</x:v>
      </x:c>
      <x:c r="Q17" s="14" t="str">
        <x:v>メーカー公式仕様を初期登録。ASIN・JAN・価格.com IDは未確認。購入監視に使う前に販売ページの完全型番、状態、国内保証、リビジョンを照合してください。</x:v>
      </x:c>
      <x:c r="R17" s="12" t="str">
        <x:v>amd-radeon-rx-7600</x:v>
      </x:c>
      <x:c r="S17" s="12" t="str">
        <x:v>PULSE</x:v>
      </x:c>
      <x:c r="T17" s="12" t="str">
        <x:v>PULSE Radeon RX 7600 8GB</x:v>
      </x:c>
      <x:c r="U17" s="12"/>
      <x:c r="V17" s="12" t="str">
        <x:v>sapphire-dual-x-pulse-rx7600</x:v>
      </x:c>
      <x:c r="W17" s="13" t="b">
        <x:v>1</x:v>
      </x:c>
      <x:c r="X17" s="13" t="b">
        <x:v>0</x:v>
      </x:c>
      <x:c r="Y17" s="12"/>
      <x:c r="Z17" s="103"/>
      <x:c r="AA17" s="12" t="str">
        <x:v>unknown</x:v>
      </x:c>
      <x:c r="AB17" s="104" t="n">
        <x:v>2</x:v>
      </x:c>
      <x:c r="AC17" s="103" t="n">
        <x:v>2</x:v>
      </x:c>
      <x:c r="AD17" s="12" t="str">
        <x:v>8pin</x:v>
      </x:c>
      <x:c r="AE17" s="12" t="str">
        <x:v>unrated</x:v>
      </x:c>
      <x:c r="AF17" s="105" t="n">
        <x:v>240</x:v>
      </x:c>
      <x:c r="AG17" s="105" t="n">
        <x:v>185</x:v>
      </x:c>
      <x:c r="AH17" s="102"/>
    </x:row>
    <x:row r="18" ht="38" customHeight="1">
      <x:c r="A18" s="12" t="str">
        <x:v>gpu-sapphire-11348-03-20g</x:v>
      </x:c>
      <x:c r="B18" s="12" t="str">
        <x:v>SAPPHIRE</x:v>
      </x:c>
      <x:c r="C18" s="12" t="str">
        <x:v>11348-03-20G</x:v>
      </x:c>
      <x:c r="D18" s="12" t="str">
        <x:v>SAPPHIRE PULSE AMD Radeon RX 9070 XT 16GB</x:v>
      </x:c>
      <x:c r="E18" s="12"/>
      <x:c r="F18" s="12"/>
      <x:c r="G18" s="12" t="str">
        <x:v>11348-03-20G</x:v>
      </x:c>
      <x:c r="H18" s="12"/>
      <x:c r="I18" s="12" t="str">
        <x:v>SAPPHIRE PULSE AMD Radeon RX 9070 XT 16GB</x:v>
      </x:c>
      <x:c r="J18" s="12" t="str">
        <x:v>research_required</x:v>
      </x:c>
      <x:c r="K18" s="12" t="str">
        <x:v>unrated</x:v>
      </x:c>
      <x:c r="L18" s="102" t="n">
        <x:v>46219</x:v>
      </x:c>
      <x:c r="M18" s="14" t="str">
        <x:v>メーカー公式仕様で完全型番・搭載GPU・物理仕様を確認。独立レビューと国内保証は未確認のため品質未評価。</x:v>
      </x:c>
      <x:c r="N18" s="14" t="str">
        <x:v>Tri-Xトリプルファン
3スロット
公式ボード電力304W</x:v>
      </x:c>
      <x:c r="O18" s="14" t="str">
        <x:v>独立レビュー未確認
実測騒音未確認
国内代理店・保証条件未確認</x:v>
      </x:c>
      <x:c r="P18" s="14" t="str">
        <x:v>同名別型番・地域差・国内流通保証・販売ページ上の完全型番の確認が必要</x:v>
      </x:c>
      <x:c r="Q18" s="14" t="str">
        <x:v>メーカー公式仕様を初期登録。ASIN・JAN・価格.com IDは未確認。購入監視に使う前に販売ページの完全型番、状態、国内保証、リビジョンを照合してください。</x:v>
      </x:c>
      <x:c r="R18" s="12" t="str">
        <x:v>amd-radeon-rx-9070-xt</x:v>
      </x:c>
      <x:c r="S18" s="12" t="str">
        <x:v>PULSE</x:v>
      </x:c>
      <x:c r="T18" s="12" t="str">
        <x:v>PULSE Radeon RX 9070 XT 16GB</x:v>
      </x:c>
      <x:c r="U18" s="12"/>
      <x:c r="V18" s="12" t="str">
        <x:v>sapphire-tri-x-pulse-rx9070xt</x:v>
      </x:c>
      <x:c r="W18" s="13" t="b">
        <x:v>0</x:v>
      </x:c>
      <x:c r="X18" s="13" t="b">
        <x:v>0</x:v>
      </x:c>
      <x:c r="Y18" s="12"/>
      <x:c r="Z18" s="103"/>
      <x:c r="AA18" s="12" t="str">
        <x:v>unknown</x:v>
      </x:c>
      <x:c r="AB18" s="104" t="n">
        <x:v>3</x:v>
      </x:c>
      <x:c r="AC18" s="103" t="n">
        <x:v>3</x:v>
      </x:c>
      <x:c r="AD18" s="12" t="str">
        <x:v>2x8pin</x:v>
      </x:c>
      <x:c r="AE18" s="12" t="str">
        <x:v>unrated</x:v>
      </x:c>
      <x:c r="AF18" s="105" t="n">
        <x:v>320</x:v>
      </x:c>
      <x:c r="AG18" s="105" t="n">
        <x:v>304</x:v>
      </x:c>
      <x:c r="AH18" s="102"/>
    </x:row>
    <x:row r="19" ht="38" customHeight="1">
      <x:c r="A19" s="12" t="str">
        <x:v>gpu-powercolor-axrx-6650xt-8gbd6-3dhl-oc</x:v>
      </x:c>
      <x:c r="B19" s="12" t="str">
        <x:v>PowerColor</x:v>
      </x:c>
      <x:c r="C19" s="12" t="str">
        <x:v>AXRX 6650XT 8GBD6-3DHL/OC</x:v>
      </x:c>
      <x:c r="D19" s="12" t="str">
        <x:v>PowerColor Hellhound AMD Radeon RX 6650 XT 8GB</x:v>
      </x:c>
      <x:c r="E19" s="12"/>
      <x:c r="F19" s="12"/>
      <x:c r="G19" s="12" t="str">
        <x:v>AXRX 6650XT 8GBD6-3DHL/OC</x:v>
      </x:c>
      <x:c r="H19" s="12"/>
      <x:c r="I19" s="12" t="str">
        <x:v>PowerColor Hellhound AMD Radeon RX 6650 XT 8GB</x:v>
      </x:c>
      <x:c r="J19" s="12" t="str">
        <x:v>research_required</x:v>
      </x:c>
      <x:c r="K19" s="12" t="str">
        <x:v>unrated</x:v>
      </x:c>
      <x:c r="L19" s="102" t="n">
        <x:v>46219</x:v>
      </x:c>
      <x:c r="M19" s="14" t="str">
        <x:v>メーカー公式仕様で完全型番・搭載GPU・物理仕様を確認。独立レビューと国内保証は未確認のため品質未評価。</x:v>
      </x:c>
      <x:c r="N19" s="14" t="str">
        <x:v>220mm長
2スロット
OC/Silentクロックを公式掲載</x:v>
      </x:c>
      <x:c r="O19" s="14" t="str">
        <x:v>独立レビュー未確認
実測騒音未確認
国内代理店・保証条件未確認</x:v>
      </x:c>
      <x:c r="P19" s="14" t="str">
        <x:v>旧世代・終売流通を含むため、中古・開封品・改版・保証残存期間の確認が必要</x:v>
      </x:c>
      <x:c r="Q19" s="14" t="str">
        <x:v>メーカー公式仕様を初期登録。ASIN・JAN・価格.com IDは未確認。購入監視に使う前に販売ページの完全型番、状態、国内保証、リビジョンを照合してください。</x:v>
      </x:c>
      <x:c r="R19" s="12" t="str">
        <x:v>amd-radeon-rx-6650-xt</x:v>
      </x:c>
      <x:c r="S19" s="12" t="str">
        <x:v>Hellhound</x:v>
      </x:c>
      <x:c r="T19" s="12" t="str">
        <x:v>AXRX 6650XT 8GBD6-3DHL/OC</x:v>
      </x:c>
      <x:c r="U19" s="12"/>
      <x:c r="V19" s="12" t="str">
        <x:v>powercolor-hellhound-rx6650xt</x:v>
      </x:c>
      <x:c r="W19" s="13" t="b">
        <x:v>1</x:v>
      </x:c>
      <x:c r="X19" s="13" t="b">
        <x:v>0</x:v>
      </x:c>
      <x:c r="Y19" s="12"/>
      <x:c r="Z19" s="103"/>
      <x:c r="AA19" s="12" t="str">
        <x:v>unknown</x:v>
      </x:c>
      <x:c r="AB19" s="104" t="n">
        <x:v>2</x:v>
      </x:c>
      <x:c r="AC19" s="103" t="n">
        <x:v>2</x:v>
      </x:c>
      <x:c r="AD19" s="12" t="str">
        <x:v>8pin</x:v>
      </x:c>
      <x:c r="AE19" s="12" t="str">
        <x:v>unrated</x:v>
      </x:c>
      <x:c r="AF19" s="105" t="n">
        <x:v>220</x:v>
      </x:c>
      <x:c r="AG19" s="105"/>
      <x:c r="AH19" s="102"/>
    </x:row>
    <x:row r="20" ht="38" customHeight="1">
      <x:c r="A20" s="12" t="str">
        <x:v>gpu-powercolor-rx7800xt-16g-l-oc</x:v>
      </x:c>
      <x:c r="B20" s="12" t="str">
        <x:v>PowerColor</x:v>
      </x:c>
      <x:c r="C20" s="12" t="str">
        <x:v>RX7800XT 16G-L/OC</x:v>
      </x:c>
      <x:c r="D20" s="12" t="str">
        <x:v>PowerColor Hellhound AMD Radeon RX 7800 XT 16GB</x:v>
      </x:c>
      <x:c r="E20" s="12"/>
      <x:c r="F20" s="12"/>
      <x:c r="G20" s="12" t="str">
        <x:v>RX7800XT 16G-L/OC</x:v>
      </x:c>
      <x:c r="H20" s="12"/>
      <x:c r="I20" s="12" t="str">
        <x:v>PowerColor Hellhound AMD Radeon RX 7800 XT 16GB</x:v>
      </x:c>
      <x:c r="J20" s="12" t="str">
        <x:v>research_required</x:v>
      </x:c>
      <x:c r="K20" s="12" t="str">
        <x:v>unrated</x:v>
      </x:c>
      <x:c r="L20" s="102" t="n">
        <x:v>46219</x:v>
      </x:c>
      <x:c r="M20" s="14" t="str">
        <x:v>メーカー公式仕様で完全型番・搭載GPU・物理仕様を確認。独立レビューと国内保証は未確認のため品質未評価。</x:v>
      </x:c>
      <x:c r="N20" s="14" t="str">
        <x:v>トリプルファン
2.5スロット
OC/Silentクロックを公式掲載</x:v>
      </x:c>
      <x:c r="O20" s="14" t="str">
        <x:v>独立レビュー未確認
実測騒音未確認
国内代理店・保証条件未確認</x:v>
      </x:c>
      <x:c r="P20" s="14" t="str">
        <x:v>同名別型番・地域差・国内流通保証・販売ページ上の完全型番の確認が必要</x:v>
      </x:c>
      <x:c r="Q20" s="14" t="str">
        <x:v>メーカー公式仕様を初期登録。ASIN・JAN・価格.com IDは未確認。購入監視に使う前に販売ページの完全型番、状態、国内保証、リビジョンを照合してください。</x:v>
      </x:c>
      <x:c r="R20" s="12" t="str">
        <x:v>amd-radeon-rx-7800-xt</x:v>
      </x:c>
      <x:c r="S20" s="12" t="str">
        <x:v>Hellhound</x:v>
      </x:c>
      <x:c r="T20" s="12" t="str">
        <x:v>RX7800XT 16G-L/OC</x:v>
      </x:c>
      <x:c r="U20" s="12"/>
      <x:c r="V20" s="12" t="str">
        <x:v>powercolor-hellhound-rx7800xt</x:v>
      </x:c>
      <x:c r="W20" s="13" t="b">
        <x:v>1</x:v>
      </x:c>
      <x:c r="X20" s="13" t="b">
        <x:v>0</x:v>
      </x:c>
      <x:c r="Y20" s="12"/>
      <x:c r="Z20" s="103"/>
      <x:c r="AA20" s="12" t="str">
        <x:v>unknown</x:v>
      </x:c>
      <x:c r="AB20" s="104" t="n">
        <x:v>3</x:v>
      </x:c>
      <x:c r="AC20" s="103" t="n">
        <x:v>2.5</x:v>
      </x:c>
      <x:c r="AD20" s="12" t="str">
        <x:v>2x8pin</x:v>
      </x:c>
      <x:c r="AE20" s="12" t="str">
        <x:v>unrated</x:v>
      </x:c>
      <x:c r="AF20" s="105" t="n">
        <x:v>322</x:v>
      </x:c>
      <x:c r="AG20" s="105"/>
      <x:c r="AH20" s="102"/>
    </x:row>
    <x:row r="21" ht="38" customHeight="1">
      <x:c r="A21" s="12" t="str">
        <x:v>gpu-powercolor-rx9070xt-16g-l-oc</x:v>
      </x:c>
      <x:c r="B21" s="12" t="str">
        <x:v>PowerColor</x:v>
      </x:c>
      <x:c r="C21" s="12" t="str">
        <x:v>RX9070XT 16G-L/OC</x:v>
      </x:c>
      <x:c r="D21" s="12" t="str">
        <x:v>PowerColor Hellhound AMD Radeon RX 9070 XT 16GB</x:v>
      </x:c>
      <x:c r="E21" s="12"/>
      <x:c r="F21" s="12"/>
      <x:c r="G21" s="12" t="str">
        <x:v>RX9070XT 16G-L/OC</x:v>
      </x:c>
      <x:c r="H21" s="12"/>
      <x:c r="I21" s="12" t="str">
        <x:v>PowerColor Hellhound AMD Radeon RX 9070 XT 16GB</x:v>
      </x:c>
      <x:c r="J21" s="12" t="str">
        <x:v>research_required</x:v>
      </x:c>
      <x:c r="K21" s="12" t="str">
        <x:v>unrated</x:v>
      </x:c>
      <x:c r="L21" s="102" t="n">
        <x:v>46219</x:v>
      </x:c>
      <x:c r="M21" s="14" t="str">
        <x:v>メーカー公式仕様で完全型番・搭載GPU・物理仕様を確認。独立レビューと国内保証は未確認のため品質未評価。</x:v>
      </x:c>
      <x:c r="N21" s="14" t="str">
        <x:v>トリプルファン
2.5スロット
OC/Silentクロックを公式掲載</x:v>
      </x:c>
      <x:c r="O21" s="14" t="str">
        <x:v>独立レビュー未確認
実測騒音未確認
国内代理店・保証条件未確認</x:v>
      </x:c>
      <x:c r="P21" s="14" t="str">
        <x:v>同名別型番・地域差・国内流通保証・販売ページ上の完全型番の確認が必要</x:v>
      </x:c>
      <x:c r="Q21" s="14" t="str">
        <x:v>メーカー公式仕様を初期登録。ASIN・JAN・価格.com IDは未確認。購入監視に使う前に販売ページの完全型番、状態、国内保証、リビジョンを照合してください。</x:v>
      </x:c>
      <x:c r="R21" s="12" t="str">
        <x:v>amd-radeon-rx-9070-xt</x:v>
      </x:c>
      <x:c r="S21" s="12" t="str">
        <x:v>Hellhound</x:v>
      </x:c>
      <x:c r="T21" s="12" t="str">
        <x:v>RX9070XT 16G-L/OC</x:v>
      </x:c>
      <x:c r="U21" s="12"/>
      <x:c r="V21" s="12" t="str">
        <x:v>powercolor-hellhound-rx9070xt</x:v>
      </x:c>
      <x:c r="W21" s="13" t="b">
        <x:v>1</x:v>
      </x:c>
      <x:c r="X21" s="13" t="b">
        <x:v>0</x:v>
      </x:c>
      <x:c r="Y21" s="12"/>
      <x:c r="Z21" s="103"/>
      <x:c r="AA21" s="12" t="str">
        <x:v>unknown</x:v>
      </x:c>
      <x:c r="AB21" s="104" t="n">
        <x:v>3</x:v>
      </x:c>
      <x:c r="AC21" s="103" t="n">
        <x:v>2.5</x:v>
      </x:c>
      <x:c r="AD21" s="12" t="str">
        <x:v>2x8pin</x:v>
      </x:c>
      <x:c r="AE21" s="12" t="str">
        <x:v>unrated</x:v>
      </x:c>
      <x:c r="AF21" s="105" t="n">
        <x:v>327</x:v>
      </x:c>
      <x:c r="AG21" s="105"/>
      <x:c r="AH21" s="102"/>
    </x:row>
    <x:row r="22" ht="38" customHeight="1">
      <x:c r="A22" s="12" t="str">
        <x:v>gpu-asrock-rx6700xt-cld-12g</x:v>
      </x:c>
      <x:c r="B22" s="12" t="str">
        <x:v>ASRock</x:v>
      </x:c>
      <x:c r="C22" s="12" t="str">
        <x:v>RX6700XT CLD 12G</x:v>
      </x:c>
      <x:c r="D22" s="12" t="str">
        <x:v>ASRock AMD Radeon RX 6700 XT Challenger D 12GB</x:v>
      </x:c>
      <x:c r="E22" s="12"/>
      <x:c r="F22" s="12"/>
      <x:c r="G22" s="12" t="str">
        <x:v>RX6700XT CLD 12G</x:v>
      </x:c>
      <x:c r="H22" s="12"/>
      <x:c r="I22" s="12" t="str">
        <x:v>ASRock AMD Radeon RX 6700 XT Challenger D 12GB</x:v>
      </x:c>
      <x:c r="J22" s="12" t="str">
        <x:v>research_required</x:v>
      </x:c>
      <x:c r="K22" s="12" t="str">
        <x:v>unrated</x:v>
      </x:c>
      <x:c r="L22" s="102" t="n">
        <x:v>46219</x:v>
      </x:c>
      <x:c r="M22" s="14" t="str">
        <x:v>メーカー公式仕様で完全型番・搭載GPU・物理仕様を確認。独立レビューと国内保証は未確認のため品質未評価。</x:v>
      </x:c>
      <x:c r="N22" s="14" t="str">
        <x:v>デュアルファン
2.1スロット
0dBサイレントクーリング</x:v>
      </x:c>
      <x:c r="O22" s="14" t="str">
        <x:v>独立レビュー未確認
実測騒音未確認
国内代理店・保証条件未確認</x:v>
      </x:c>
      <x:c r="P22" s="14" t="str">
        <x:v>旧世代・終売流通を含むため、中古・開封品・改版・保証残存期間の確認が必要</x:v>
      </x:c>
      <x:c r="Q22" s="14" t="str">
        <x:v>メーカー公式仕様を初期登録。ASIN・JAN・価格.com IDは未確認。購入監視に使う前に販売ページの完全型番、状態、国内保証、リビジョンを照合してください。</x:v>
      </x:c>
      <x:c r="R22" s="12" t="str">
        <x:v>amd-radeon-rx-6700-xt</x:v>
      </x:c>
      <x:c r="S22" s="12" t="str">
        <x:v>Challenger D</x:v>
      </x:c>
      <x:c r="T22" s="12" t="str">
        <x:v>RX6700XT CLD 12G</x:v>
      </x:c>
      <x:c r="U22" s="12"/>
      <x:c r="V22" s="12" t="str">
        <x:v>asrock-challenger-d-rx6700xt</x:v>
      </x:c>
      <x:c r="W22" s="13" t="b">
        <x:v>0</x:v>
      </x:c>
      <x:c r="X22" s="13" t="b">
        <x:v>0</x:v>
      </x:c>
      <x:c r="Y22" s="12"/>
      <x:c r="Z22" s="103"/>
      <x:c r="AA22" s="12" t="str">
        <x:v>unknown</x:v>
      </x:c>
      <x:c r="AB22" s="104" t="n">
        <x:v>2</x:v>
      </x:c>
      <x:c r="AC22" s="103" t="n">
        <x:v>2.1</x:v>
      </x:c>
      <x:c r="AD22" s="12" t="str">
        <x:v>2x8pin</x:v>
      </x:c>
      <x:c r="AE22" s="12" t="str">
        <x:v>unrated</x:v>
      </x:c>
      <x:c r="AF22" s="105" t="n">
        <x:v>269</x:v>
      </x:c>
      <x:c r="AG22" s="105"/>
      <x:c r="AH22" s="102"/>
    </x:row>
    <x:row r="23" ht="38" customHeight="1">
      <x:c r="A23" s="12" t="str">
        <x:v>gpu-asrock-rx7900xtx-pg-24go</x:v>
      </x:c>
      <x:c r="B23" s="12" t="str">
        <x:v>ASRock</x:v>
      </x:c>
      <x:c r="C23" s="12" t="str">
        <x:v>RX7900XTX PG 24GO</x:v>
      </x:c>
      <x:c r="D23" s="12" t="str">
        <x:v>ASRock AMD Radeon RX 7900 XTX Phantom Gaming 24GB OC</x:v>
      </x:c>
      <x:c r="E23" s="12"/>
      <x:c r="F23" s="12"/>
      <x:c r="G23" s="12" t="str">
        <x:v>RX7900XTX PG 24GO</x:v>
      </x:c>
      <x:c r="H23" s="12"/>
      <x:c r="I23" s="12" t="str">
        <x:v>ASRock AMD Radeon RX 7900 XTX Phantom Gaming 24GB OC</x:v>
      </x:c>
      <x:c r="J23" s="12" t="str">
        <x:v>research_required</x:v>
      </x:c>
      <x:c r="K23" s="12" t="str">
        <x:v>unrated</x:v>
      </x:c>
      <x:c r="L23" s="102" t="n">
        <x:v>46219</x:v>
      </x:c>
      <x:c r="M23" s="14" t="str">
        <x:v>メーカー公式仕様で完全型番・搭載GPU・物理仕様を確認。独立レビューと国内保証は未確認のため品質未評価。</x:v>
      </x:c>
      <x:c r="N23" s="14" t="str">
        <x:v>トリプルファン
2.8スロット
3本の8ピン補助電源</x:v>
      </x:c>
      <x:c r="O23" s="14" t="str">
        <x:v>独立レビュー未確認
実測騒音未確認
国内代理店・保証条件未確認</x:v>
      </x:c>
      <x:c r="P23" s="14" t="str">
        <x:v>同名別型番・地域差・国内流通保証・販売ページ上の完全型番の確認が必要</x:v>
      </x:c>
      <x:c r="Q23" s="14" t="str">
        <x:v>メーカー公式仕様を初期登録。ASIN・JAN・価格.com IDは未確認。購入監視に使う前に販売ページの完全型番、状態、国内保証、リビジョンを照合してください。</x:v>
      </x:c>
      <x:c r="R23" s="12" t="str">
        <x:v>amd-radeon-rx-7900-xtx</x:v>
      </x:c>
      <x:c r="S23" s="12" t="str">
        <x:v>Phantom Gaming</x:v>
      </x:c>
      <x:c r="T23" s="12" t="str">
        <x:v>RX7900XTX PG 24GO</x:v>
      </x:c>
      <x:c r="U23" s="12"/>
      <x:c r="V23" s="12" t="str">
        <x:v>asrock-phantom-gaming-3x-rx7900xtx</x:v>
      </x:c>
      <x:c r="W23" s="13" t="b">
        <x:v>1</x:v>
      </x:c>
      <x:c r="X23" s="13" t="b">
        <x:v>0</x:v>
      </x:c>
      <x:c r="Y23" s="12"/>
      <x:c r="Z23" s="103"/>
      <x:c r="AA23" s="12" t="str">
        <x:v>unknown</x:v>
      </x:c>
      <x:c r="AB23" s="104" t="n">
        <x:v>3</x:v>
      </x:c>
      <x:c r="AC23" s="103" t="n">
        <x:v>2.8</x:v>
      </x:c>
      <x:c r="AD23" s="12" t="str">
        <x:v>3x8pin</x:v>
      </x:c>
      <x:c r="AE23" s="12" t="str">
        <x:v>unrated</x:v>
      </x:c>
      <x:c r="AF23" s="105" t="n">
        <x:v>330</x:v>
      </x:c>
      <x:c r="AG23" s="105"/>
      <x:c r="AH23" s="102"/>
    </x:row>
    <x:row r="24" ht="38" customHeight="1">
      <x:c r="A24" s="12" t="str">
        <x:v>gpu-asrock-rx9070xt-sl-16g</x:v>
      </x:c>
      <x:c r="B24" s="12" t="str">
        <x:v>ASRock</x:v>
      </x:c>
      <x:c r="C24" s="12" t="str">
        <x:v>RX9070XT SL 16G</x:v>
      </x:c>
      <x:c r="D24" s="12" t="str">
        <x:v>ASRock AMD Radeon RX 9070 XT Steel Legend 16GB</x:v>
      </x:c>
      <x:c r="E24" s="12"/>
      <x:c r="F24" s="12"/>
      <x:c r="G24" s="12" t="str">
        <x:v>RX9070XT SL 16G</x:v>
      </x:c>
      <x:c r="H24" s="12"/>
      <x:c r="I24" s="12" t="str">
        <x:v>ASRock AMD Radeon RX 9070 XT Steel Legend 16GB</x:v>
      </x:c>
      <x:c r="J24" s="12" t="str">
        <x:v>research_required</x:v>
      </x:c>
      <x:c r="K24" s="12" t="str">
        <x:v>unrated</x:v>
      </x:c>
      <x:c r="L24" s="102" t="n">
        <x:v>46219</x:v>
      </x:c>
      <x:c r="M24" s="14" t="str">
        <x:v>メーカー公式仕様で完全型番・搭載GPU・物理仕様を確認。独立レビューと国内保証は未確認のため品質未評価。</x:v>
      </x:c>
      <x:c r="N24" s="14" t="str">
        <x:v>298mm長
2.9スロット
Honeywell PTM7950を公式掲載</x:v>
      </x:c>
      <x:c r="O24" s="14" t="str">
        <x:v>独立レビュー未確認
実測騒音未確認
国内代理店・保証条件未確認</x:v>
      </x:c>
      <x:c r="P24" s="14" t="str">
        <x:v>同名別型番・地域差・国内流通保証・販売ページ上の完全型番の確認が必要</x:v>
      </x:c>
      <x:c r="Q24" s="14" t="str">
        <x:v>メーカー公式仕様を初期登録。ASIN・JAN・価格.com IDは未確認。購入監視に使う前に販売ページの完全型番、状態、国内保証、リビジョンを照合してください。</x:v>
      </x:c>
      <x:c r="R24" s="12" t="str">
        <x:v>amd-radeon-rx-9070-xt</x:v>
      </x:c>
      <x:c r="S24" s="12" t="str">
        <x:v>Steel Legend</x:v>
      </x:c>
      <x:c r="T24" s="12" t="str">
        <x:v>RX9070XT SL 16G</x:v>
      </x:c>
      <x:c r="U24" s="12"/>
      <x:c r="V24" s="12" t="str">
        <x:v>asrock-steel-legend-3x-rx9070xt</x:v>
      </x:c>
      <x:c r="W24" s="13" t="b">
        <x:v>0</x:v>
      </x:c>
      <x:c r="X24" s="13" t="b">
        <x:v>0</x:v>
      </x:c>
      <x:c r="Y24" s="12"/>
      <x:c r="Z24" s="103"/>
      <x:c r="AA24" s="12" t="str">
        <x:v>unknown</x:v>
      </x:c>
      <x:c r="AB24" s="104" t="n">
        <x:v>3</x:v>
      </x:c>
      <x:c r="AC24" s="103" t="n">
        <x:v>2.9</x:v>
      </x:c>
      <x:c r="AD24" s="12" t="str">
        <x:v>2x8pin</x:v>
      </x:c>
      <x:c r="AE24" s="12" t="str">
        <x:v>unrated</x:v>
      </x:c>
      <x:c r="AF24" s="105" t="n">
        <x:v>298</x:v>
      </x:c>
      <x:c r="AG24" s="105"/>
      <x:c r="AH24" s="102"/>
    </x:row>
    <x:row r="25" ht="38" customHeight="1">
      <x:c r="A25" t="str">
        <x:v>gpu-asus-tuf-rtx3080-o10g-gaming</x:v>
      </x:c>
      <x:c r="B25" t="str">
        <x:v>ASUS</x:v>
      </x:c>
      <x:c r="C25" t="str">
        <x:v>TUF-RTX3080-O10G-GAMING</x:v>
      </x:c>
      <x:c r="D25" t="str">
        <x:v>ASUS TUF Gaming GeForce RTX 3080 OC Edition 10GB</x:v>
      </x:c>
      <x:c r="E25"/>
      <x:c r="F25"/>
      <x:c r="G25" t="str">
        <x:v>TUF-RTX3080-O10G-GAMING</x:v>
      </x:c>
      <x:c r="H25"/>
      <x:c r="I25" t="str">
        <x:v>ASUS TUF Gaming GeForce RTX 3080 OC Edition 10GB</x:v>
      </x:c>
      <x:c r="J25" t="str">
        <x:v>research_required</x:v>
      </x:c>
      <x:c r="K25" t="str">
        <x:v>unrated</x:v>
      </x:c>
      <x:c r="L25" s="137" t="n">
        <x:v>46219</x:v>
      </x:c>
      <x:c r="M25" t="str">
        <x:v>メーカー公式仕様で完全型番・搭載GPU・物理仕様を確認。独立レビューと国内保証は未確認のため品質未評価。</x:v>
      </x:c>
      <x:c r="N25" t="str">
        <x:v>299.9mm長
トリプルファン
8ピン補助電源2本</x:v>
      </x:c>
      <x:c r="O25" t="str">
        <x:v>独立レビュー未確認
実測騒音未確認
国内代理店・保証条件未確認</x:v>
      </x:c>
      <x:c r="P25" t="str">
        <x:v>旧世代・終売流通を含むため、中古・開封品・改版・保証残存期間の確認が必要</x:v>
      </x:c>
      <x:c r="Q25" t="str">
        <x:v>メーカー公式仕様を初期登録。ASIN・JAN・価格.com IDは未確認。購入監視に使う前に販売ページの完全型番、状態、国内保証、リビジョンを照合してください。</x:v>
      </x:c>
      <x:c r="R25" t="str">
        <x:v>nvidia-geforce-rtx-3080</x:v>
      </x:c>
      <x:c r="S25" t="str">
        <x:v>TUF Gaming</x:v>
      </x:c>
      <x:c r="T25" t="str">
        <x:v>TUF-RTX3080-O10G-GAMING</x:v>
      </x:c>
      <x:c r="U25"/>
      <x:c r="V25" t="str">
        <x:v>asus-tuf-rtx3080</x:v>
      </x:c>
      <x:c r="W25" s="9" t="b">
        <x:v>1</x:v>
      </x:c>
      <x:c r="X25" s="9" t="b">
        <x:v>0</x:v>
      </x:c>
      <x:c r="Y25"/>
      <x:c r="Z25"/>
      <x:c r="AA25" t="str">
        <x:v>unknown</x:v>
      </x:c>
      <x:c r="AB25" t="n">
        <x:v>3</x:v>
      </x:c>
      <x:c r="AC25" t="n">
        <x:v>2.7</x:v>
      </x:c>
      <x:c r="AD25" t="str">
        <x:v>2x8pin</x:v>
      </x:c>
      <x:c r="AE25" t="str">
        <x:v>unrated</x:v>
      </x:c>
      <x:c r="AF25" t="n">
        <x:v>299.9</x:v>
      </x:c>
      <x:c r="AG25"/>
      <x:c r="AH25"/>
    </x:row>
    <x:row r="26" ht="38" customHeight="1">
      <x:c r="A26" t="str">
        <x:v>gpu-asus-dual-rtx4060ti-o16g</x:v>
      </x:c>
      <x:c r="B26" t="str">
        <x:v>ASUS</x:v>
      </x:c>
      <x:c r="C26" t="str">
        <x:v>DUAL-RTX4060TI-O16G</x:v>
      </x:c>
      <x:c r="D26" t="str">
        <x:v>ASUS Dual GeForce RTX 4060 Ti OC Edition 16GB</x:v>
      </x:c>
      <x:c r="E26"/>
      <x:c r="F26"/>
      <x:c r="G26" t="str">
        <x:v>DUAL-RTX4060TI-O16G</x:v>
      </x:c>
      <x:c r="H26"/>
      <x:c r="I26" t="str">
        <x:v>ASUS Dual GeForce RTX 4060 Ti OC Edition 16GB</x:v>
      </x:c>
      <x:c r="J26" t="str">
        <x:v>research_required</x:v>
      </x:c>
      <x:c r="K26" t="str">
        <x:v>unrated</x:v>
      </x:c>
      <x:c r="L26" s="137" t="n">
        <x:v>46219</x:v>
      </x:c>
      <x:c r="M26" t="str">
        <x:v>メーカー公式仕様で完全型番・搭載GPU・物理仕様を確認。独立レビューと国内保証は未確認のため品質未評価。</x:v>
      </x:c>
      <x:c r="N26" t="str">
        <x:v>227.2mm長
デュアルファン
8ピン補助電源1本</x:v>
      </x:c>
      <x:c r="O26" t="str">
        <x:v>独立レビュー未確認
実測騒音未確認
国内代理店・保証条件未確認</x:v>
      </x:c>
      <x:c r="P26" t="str">
        <x:v>同名別型番・地域差・国内流通保証・販売ページ上の完全型番の確認が必要</x:v>
      </x:c>
      <x:c r="Q26" t="str">
        <x:v>メーカー公式仕様を初期登録。ASIN・JAN・価格.com IDは未確認。購入監視に使う前に販売ページの完全型番、状態、国内保証、リビジョンを照合してください。</x:v>
      </x:c>
      <x:c r="R26" t="str">
        <x:v>nvidia-geforce-rtx-4060-ti-16gb</x:v>
      </x:c>
      <x:c r="S26" t="str">
        <x:v>Dual</x:v>
      </x:c>
      <x:c r="T26" t="str">
        <x:v>DUAL-RTX4060TI-O16G</x:v>
      </x:c>
      <x:c r="U26"/>
      <x:c r="V26" t="str">
        <x:v>asus-dual-rtx4060ti-16gb</x:v>
      </x:c>
      <x:c r="W26" s="9" t="b">
        <x:v>1</x:v>
      </x:c>
      <x:c r="X26" s="9" t="b">
        <x:v>0</x:v>
      </x:c>
      <x:c r="Y26"/>
      <x:c r="Z26"/>
      <x:c r="AA26" t="str">
        <x:v>unknown</x:v>
      </x:c>
      <x:c r="AB26" t="n">
        <x:v>2</x:v>
      </x:c>
      <x:c r="AC26" t="n">
        <x:v>2.5</x:v>
      </x:c>
      <x:c r="AD26" t="str">
        <x:v>8pin</x:v>
      </x:c>
      <x:c r="AE26" t="str">
        <x:v>unrated</x:v>
      </x:c>
      <x:c r="AF26" t="n">
        <x:v>227.2</x:v>
      </x:c>
      <x:c r="AG26"/>
      <x:c r="AH26"/>
    </x:row>
    <x:row r="27" ht="38" customHeight="1">
      <x:c r="A27" t="str">
        <x:v>gpu-asus-tuf-rtx4090-o24g-gaming</x:v>
      </x:c>
      <x:c r="B27" t="str">
        <x:v>ASUS</x:v>
      </x:c>
      <x:c r="C27" t="str">
        <x:v>TUF-RTX4090-O24G-GAMING</x:v>
      </x:c>
      <x:c r="D27" t="str">
        <x:v>ASUS TUF Gaming GeForce RTX 4090 OC Edition 24GB</x:v>
      </x:c>
      <x:c r="E27"/>
      <x:c r="F27"/>
      <x:c r="G27" t="str">
        <x:v>TUF-RTX4090-O24G-GAMING</x:v>
      </x:c>
      <x:c r="H27"/>
      <x:c r="I27" t="str">
        <x:v>ASUS TUF Gaming GeForce RTX 4090 OC Edition 24GB</x:v>
      </x:c>
      <x:c r="J27" t="str">
        <x:v>research_required</x:v>
      </x:c>
      <x:c r="K27" t="str">
        <x:v>unrated</x:v>
      </x:c>
      <x:c r="L27" s="137" t="n">
        <x:v>46219</x:v>
      </x:c>
      <x:c r="M27" t="str">
        <x:v>メーカー公式仕様で完全型番・搭載GPU・物理仕様を確認。独立レビューと国内保証は未確認のため品質未評価。</x:v>
      </x:c>
      <x:c r="N27" t="str">
        <x:v>348.2mm長
3.65スロット
16ピン補助電源1本</x:v>
      </x:c>
      <x:c r="O27" t="str">
        <x:v>独立レビュー未確認
実測騒音未確認
国内代理店・保証条件未確認</x:v>
      </x:c>
      <x:c r="P27" t="str">
        <x:v>同名別型番・地域差・国内流通保証・販売ページ上の完全型番の確認が必要</x:v>
      </x:c>
      <x:c r="Q27" t="str">
        <x:v>メーカー公式仕様を初期登録。ASIN・JAN・価格.com IDは未確認。購入監視に使う前に販売ページの完全型番、状態、国内保証、リビジョンを照合してください。</x:v>
      </x:c>
      <x:c r="R27" t="str">
        <x:v>nvidia-geforce-rtx-4090</x:v>
      </x:c>
      <x:c r="S27" t="str">
        <x:v>TUF Gaming</x:v>
      </x:c>
      <x:c r="T27" t="str">
        <x:v>TUF-RTX4090-O24G-GAMING</x:v>
      </x:c>
      <x:c r="U27"/>
      <x:c r="V27" t="str">
        <x:v>asus-tuf-rtx4090</x:v>
      </x:c>
      <x:c r="W27" s="9" t="b">
        <x:v>1</x:v>
      </x:c>
      <x:c r="X27" s="9" t="b">
        <x:v>0</x:v>
      </x:c>
      <x:c r="Y27"/>
      <x:c r="Z27"/>
      <x:c r="AA27" t="str">
        <x:v>unknown</x:v>
      </x:c>
      <x:c r="AB27" t="n">
        <x:v>3</x:v>
      </x:c>
      <x:c r="AC27" t="n">
        <x:v>3.65</x:v>
      </x:c>
      <x:c r="AD27" t="str">
        <x:v>16pin</x:v>
      </x:c>
      <x:c r="AE27" t="str">
        <x:v>unrated</x:v>
      </x:c>
      <x:c r="AF27" t="n">
        <x:v>348.2</x:v>
      </x:c>
      <x:c r="AG27"/>
      <x:c r="AH27"/>
    </x:row>
    <x:row r="28" ht="38" customHeight="1">
      <x:c r="A28" t="str">
        <x:v>gpu-asus-tuf-rtx5080-o16g-gaming</x:v>
      </x:c>
      <x:c r="B28" t="str">
        <x:v>ASUS</x:v>
      </x:c>
      <x:c r="C28" t="str">
        <x:v>TUF-RTX5080-O16G-GAMING</x:v>
      </x:c>
      <x:c r="D28" t="str">
        <x:v>ASUS TUF Gaming GeForce RTX 5080 OC Edition 16GB</x:v>
      </x:c>
      <x:c r="E28"/>
      <x:c r="F28"/>
      <x:c r="G28" t="str">
        <x:v>TUF-RTX5080-O16G-GAMING</x:v>
      </x:c>
      <x:c r="H28"/>
      <x:c r="I28" t="str">
        <x:v>ASUS TUF Gaming GeForce RTX 5080 OC Edition 16GB</x:v>
      </x:c>
      <x:c r="J28" t="str">
        <x:v>research_required</x:v>
      </x:c>
      <x:c r="K28" t="str">
        <x:v>unrated</x:v>
      </x:c>
      <x:c r="L28" s="137" t="n">
        <x:v>46219</x:v>
      </x:c>
      <x:c r="M28" t="str">
        <x:v>メーカー公式仕様で完全型番・搭載GPU・物理仕様を確認。独立レビューと国内保証は未確認のため品質未評価。</x:v>
      </x:c>
      <x:c r="N28" t="str">
        <x:v>348mm長
3.6スロット
16ピン補助電源1本</x:v>
      </x:c>
      <x:c r="O28" t="str">
        <x:v>独立レビュー未確認
実測騒音未確認
国内代理店・保証条件未確認</x:v>
      </x:c>
      <x:c r="P28" t="str">
        <x:v>同名別型番・地域差・国内流通保証・販売ページ上の完全型番の確認が必要</x:v>
      </x:c>
      <x:c r="Q28" t="str">
        <x:v>メーカー公式仕様を初期登録。ASIN・JAN・価格.com IDは未確認。購入監視に使う前に販売ページの完全型番、状態、国内保証、リビジョンを照合してください。</x:v>
      </x:c>
      <x:c r="R28" t="str">
        <x:v>nvidia-geforce-rtx-5080</x:v>
      </x:c>
      <x:c r="S28" t="str">
        <x:v>TUF Gaming</x:v>
      </x:c>
      <x:c r="T28" t="str">
        <x:v>TUF-RTX5080-O16G-GAMING</x:v>
      </x:c>
      <x:c r="U28"/>
      <x:c r="V28" t="str">
        <x:v>asus-tuf-rtx5080</x:v>
      </x:c>
      <x:c r="W28" s="9" t="b">
        <x:v>1</x:v>
      </x:c>
      <x:c r="X28" s="9" t="b">
        <x:v>0</x:v>
      </x:c>
      <x:c r="Y28"/>
      <x:c r="Z28"/>
      <x:c r="AA28" t="str">
        <x:v>unknown</x:v>
      </x:c>
      <x:c r="AB28" t="n">
        <x:v>3</x:v>
      </x:c>
      <x:c r="AC28" t="n">
        <x:v>3.6</x:v>
      </x:c>
      <x:c r="AD28" t="str">
        <x:v>16pin</x:v>
      </x:c>
      <x:c r="AE28" t="str">
        <x:v>unrated</x:v>
      </x:c>
      <x:c r="AF28" t="n">
        <x:v>348</x:v>
      </x:c>
      <x:c r="AG28"/>
      <x:c r="AH28"/>
    </x:row>
    <x:row r="29" ht="38" customHeight="1">
      <x:c r="A29" t="str">
        <x:v>gpu-msi-rtx3070-gaming-x-trio</x:v>
      </x:c>
      <x:c r="B29" t="str">
        <x:v>MSI</x:v>
      </x:c>
      <x:c r="C29" t="str">
        <x:v>GeForce RTX 3070 GAMING X TRIO</x:v>
      </x:c>
      <x:c r="D29" t="str">
        <x:v>MSI GeForce RTX 3070 GAMING X TRIO</x:v>
      </x:c>
      <x:c r="E29"/>
      <x:c r="F29"/>
      <x:c r="G29" t="str">
        <x:v>GeForce RTX 3070 GAMING X TRIO</x:v>
      </x:c>
      <x:c r="H29"/>
      <x:c r="I29" t="str">
        <x:v>MSI GeForce RTX 3070 GAMING X TRIO</x:v>
      </x:c>
      <x:c r="J29" t="str">
        <x:v>research_required</x:v>
      </x:c>
      <x:c r="K29" t="str">
        <x:v>unrated</x:v>
      </x:c>
      <x:c r="L29" s="137" t="n">
        <x:v>46219</x:v>
      </x:c>
      <x:c r="M29" t="str">
        <x:v>メーカー公式仕様で完全型番・搭載GPU・物理仕様を確認。独立レビューと国内保証は未確認のため品質未評価。</x:v>
      </x:c>
      <x:c r="N29" t="str">
        <x:v>323mm長
トリプルファン
公式消費電力240W</x:v>
      </x:c>
      <x:c r="O29" t="str">
        <x:v>独立レビュー未確認
実測騒音未確認
国内代理店・保証条件未確認</x:v>
      </x:c>
      <x:c r="P29" t="str">
        <x:v>旧世代・終売流通を含むため、中古・開封品・改版・保証残存期間の確認が必要</x:v>
      </x:c>
      <x:c r="Q29" t="str">
        <x:v>メーカー公式仕様を初期登録。ASIN・JAN・価格.com IDは未確認。購入監視に使う前に販売ページの完全型番、状態、国内保証、リビジョンを照合してください。</x:v>
      </x:c>
      <x:c r="R29" t="str">
        <x:v>nvidia-geforce-rtx-3070</x:v>
      </x:c>
      <x:c r="S29" t="str">
        <x:v>GAMING X TRIO</x:v>
      </x:c>
      <x:c r="T29" t="str">
        <x:v>GeForce RTX 3070 GAMING X TRIO</x:v>
      </x:c>
      <x:c r="U29"/>
      <x:c r="V29" t="str">
        <x:v>msi-tri-frozr-2-rtx3070</x:v>
      </x:c>
      <x:c r="W29" s="9" t="b">
        <x:v>1</x:v>
      </x:c>
      <x:c r="X29" s="9" t="b">
        <x:v>0</x:v>
      </x:c>
      <x:c r="Y29"/>
      <x:c r="Z29"/>
      <x:c r="AA29" t="str">
        <x:v>unknown</x:v>
      </x:c>
      <x:c r="AB29" t="n">
        <x:v>3</x:v>
      </x:c>
      <x:c r="AC29"/>
      <x:c r="AD29" t="str">
        <x:v>2x8pin</x:v>
      </x:c>
      <x:c r="AE29" t="str">
        <x:v>unrated</x:v>
      </x:c>
      <x:c r="AF29" t="n">
        <x:v>323</x:v>
      </x:c>
      <x:c r="AG29" t="n">
        <x:v>240</x:v>
      </x:c>
      <x:c r="AH29"/>
    </x:row>
    <x:row r="30" ht="38" customHeight="1">
      <x:c r="A30" t="str">
        <x:v>gpu-msi-rtx3080-suprim-x-10g</x:v>
      </x:c>
      <x:c r="B30" t="str">
        <x:v>MSI</x:v>
      </x:c>
      <x:c r="C30" t="str">
        <x:v>GeForce RTX 3080 SUPRIM X 10G</x:v>
      </x:c>
      <x:c r="D30" t="str">
        <x:v>MSI GeForce RTX 3080 SUPRIM X 10G</x:v>
      </x:c>
      <x:c r="E30"/>
      <x:c r="F30"/>
      <x:c r="G30" t="str">
        <x:v>GeForce RTX 3080 SUPRIM X 10G</x:v>
      </x:c>
      <x:c r="H30"/>
      <x:c r="I30" t="str">
        <x:v>MSI GeForce RTX 3080 SUPRIM X 10G</x:v>
      </x:c>
      <x:c r="J30" t="str">
        <x:v>research_required</x:v>
      </x:c>
      <x:c r="K30" t="str">
        <x:v>unrated</x:v>
      </x:c>
      <x:c r="L30" s="137" t="n">
        <x:v>46219</x:v>
      </x:c>
      <x:c r="M30" t="str">
        <x:v>メーカー公式仕様で完全型番・搭載GPU・物理仕様を確認。独立レビューと国内保証は未確認のため品質未評価。</x:v>
      </x:c>
      <x:c r="N30" t="str">
        <x:v>336mm長
トリプルファン
公式消費電力370W</x:v>
      </x:c>
      <x:c r="O30" t="str">
        <x:v>独立レビュー未確認
実測騒音未確認
国内代理店・保証条件未確認</x:v>
      </x:c>
      <x:c r="P30" t="str">
        <x:v>旧世代・終売流通を含むため、中古・開封品・改版・保証残存期間の確認が必要</x:v>
      </x:c>
      <x:c r="Q30" t="str">
        <x:v>メーカー公式仕様を初期登録。ASIN・JAN・価格.com IDは未確認。購入監視に使う前に販売ページの完全型番、状態、国内保証、リビジョンを照合してください。</x:v>
      </x:c>
      <x:c r="R30" t="str">
        <x:v>nvidia-geforce-rtx-3080</x:v>
      </x:c>
      <x:c r="S30" t="str">
        <x:v>SUPRIM X</x:v>
      </x:c>
      <x:c r="T30" t="str">
        <x:v>GeForce RTX 3080 SUPRIM X 10G</x:v>
      </x:c>
      <x:c r="U30"/>
      <x:c r="V30" t="str">
        <x:v>msi-tri-frozr-2s-rtx3080</x:v>
      </x:c>
      <x:c r="W30" s="9" t="b">
        <x:v>1</x:v>
      </x:c>
      <x:c r="X30" s="9" t="b">
        <x:v>0</x:v>
      </x:c>
      <x:c r="Y30"/>
      <x:c r="Z30"/>
      <x:c r="AA30" t="str">
        <x:v>unknown</x:v>
      </x:c>
      <x:c r="AB30" t="n">
        <x:v>3</x:v>
      </x:c>
      <x:c r="AC30"/>
      <x:c r="AD30" t="str">
        <x:v>3x8pin</x:v>
      </x:c>
      <x:c r="AE30" t="str">
        <x:v>unrated</x:v>
      </x:c>
      <x:c r="AF30" t="n">
        <x:v>336</x:v>
      </x:c>
      <x:c r="AG30" t="n">
        <x:v>370</x:v>
      </x:c>
      <x:c r="AH30"/>
    </x:row>
    <x:row r="31" ht="38" customHeight="1">
      <x:c r="A31" t="str">
        <x:v>gpu-msi-rtx4090-suprim-x-24g</x:v>
      </x:c>
      <x:c r="B31" t="str">
        <x:v>MSI</x:v>
      </x:c>
      <x:c r="C31" t="str">
        <x:v>GeForce RTX 4090 SUPRIM X 24G</x:v>
      </x:c>
      <x:c r="D31" t="str">
        <x:v>MSI GeForce RTX 4090 SUPRIM X 24G</x:v>
      </x:c>
      <x:c r="E31"/>
      <x:c r="F31"/>
      <x:c r="G31" t="str">
        <x:v>GeForce RTX 4090 SUPRIM X 24G</x:v>
      </x:c>
      <x:c r="H31"/>
      <x:c r="I31" t="str">
        <x:v>MSI GeForce RTX 4090 SUPRIM X 24G</x:v>
      </x:c>
      <x:c r="J31" t="str">
        <x:v>research_required</x:v>
      </x:c>
      <x:c r="K31" t="str">
        <x:v>unrated</x:v>
      </x:c>
      <x:c r="L31" s="137" t="n">
        <x:v>46219</x:v>
      </x:c>
      <x:c r="M31" t="str">
        <x:v>メーカー公式仕様で完全型番・搭載GPU・物理仕様を確認。独立レビューと国内保証は未確認のため品質未評価。</x:v>
      </x:c>
      <x:c r="N31" t="str">
        <x:v>336mm長
トリプルファン
Gaming BIOS公式消費電力480W</x:v>
      </x:c>
      <x:c r="O31" t="str">
        <x:v>独立レビュー未確認
実測騒音未確認
国内代理店・保証条件未確認</x:v>
      </x:c>
      <x:c r="P31" t="str">
        <x:v>同名別型番・地域差・国内流通保証・販売ページ上の完全型番の確認が必要</x:v>
      </x:c>
      <x:c r="Q31" t="str">
        <x:v>メーカー公式仕様を初期登録。ASIN・JAN・価格.com IDは未確認。購入監視に使う前に販売ページの完全型番、状態、国内保証、リビジョンを照合してください。</x:v>
      </x:c>
      <x:c r="R31" t="str">
        <x:v>nvidia-geforce-rtx-4090</x:v>
      </x:c>
      <x:c r="S31" t="str">
        <x:v>SUPRIM X</x:v>
      </x:c>
      <x:c r="T31" t="str">
        <x:v>GeForce RTX 4090 SUPRIM X 24G</x:v>
      </x:c>
      <x:c r="U31"/>
      <x:c r="V31" t="str">
        <x:v>msi-tri-frozr-3s-rtx4090</x:v>
      </x:c>
      <x:c r="W31" s="9" t="b">
        <x:v>1</x:v>
      </x:c>
      <x:c r="X31" s="9" t="b">
        <x:v>0</x:v>
      </x:c>
      <x:c r="Y31"/>
      <x:c r="Z31"/>
      <x:c r="AA31" t="str">
        <x:v>unknown</x:v>
      </x:c>
      <x:c r="AB31" t="n">
        <x:v>3</x:v>
      </x:c>
      <x:c r="AC31"/>
      <x:c r="AD31" t="str">
        <x:v>16pin</x:v>
      </x:c>
      <x:c r="AE31" t="str">
        <x:v>unrated</x:v>
      </x:c>
      <x:c r="AF31" t="n">
        <x:v>336</x:v>
      </x:c>
      <x:c r="AG31" t="n">
        <x:v>480</x:v>
      </x:c>
      <x:c r="AH31"/>
    </x:row>
    <x:row r="32" ht="38" customHeight="1">
      <x:c r="A32" t="str">
        <x:v>gpu-msi-g5080-16gtc</x:v>
      </x:c>
      <x:c r="B32" t="str">
        <x:v>MSI</x:v>
      </x:c>
      <x:c r="C32" t="str">
        <x:v>G5080-16GTC</x:v>
      </x:c>
      <x:c r="D32" t="str">
        <x:v>MSI GeForce RTX 5080 16G GAMING TRIO OC</x:v>
      </x:c>
      <x:c r="E32"/>
      <x:c r="F32"/>
      <x:c r="G32" t="str">
        <x:v>G5080-16GTC</x:v>
      </x:c>
      <x:c r="H32"/>
      <x:c r="I32" t="str">
        <x:v>MSI GeForce RTX 5080 16G GAMING TRIO OC</x:v>
      </x:c>
      <x:c r="J32" t="str">
        <x:v>research_required</x:v>
      </x:c>
      <x:c r="K32" t="str">
        <x:v>unrated</x:v>
      </x:c>
      <x:c r="L32" s="137" t="n">
        <x:v>46219</x:v>
      </x:c>
      <x:c r="M32" t="str">
        <x:v>メーカー公式仕様で完全型番・搭載GPU・物理仕様を確認。独立レビューと国内保証は未確認のため品質未評価。</x:v>
      </x:c>
      <x:c r="N32" t="str">
        <x:v>338mm長
トリプルファン
公式消費電力360W</x:v>
      </x:c>
      <x:c r="O32" t="str">
        <x:v>独立レビュー未確認
実測騒音未確認
国内代理店・保証条件未確認</x:v>
      </x:c>
      <x:c r="P32" t="str">
        <x:v>同名別型番・地域差・国内流通保証・販売ページ上の完全型番の確認が必要</x:v>
      </x:c>
      <x:c r="Q32" t="str">
        <x:v>メーカー公式仕様を初期登録。ASIN・JAN・価格.com IDは未確認。購入監視に使う前に販売ページの完全型番、状態、国内保証、リビジョンを照合してください。</x:v>
      </x:c>
      <x:c r="R32" t="str">
        <x:v>nvidia-geforce-rtx-5080</x:v>
      </x:c>
      <x:c r="S32" t="str">
        <x:v>GAMING TRIO</x:v>
      </x:c>
      <x:c r="T32" t="str">
        <x:v>GeForce RTX 5080 16G GAMING TRIO OC</x:v>
      </x:c>
      <x:c r="U32"/>
      <x:c r="V32" t="str">
        <x:v>msi-tri-frozr-4-rtx5080</x:v>
      </x:c>
      <x:c r="W32" s="9" t="b">
        <x:v>1</x:v>
      </x:c>
      <x:c r="X32" s="9" t="b">
        <x:v>0</x:v>
      </x:c>
      <x:c r="Y32"/>
      <x:c r="Z32"/>
      <x:c r="AA32" t="str">
        <x:v>unknown</x:v>
      </x:c>
      <x:c r="AB32" t="n">
        <x:v>3</x:v>
      </x:c>
      <x:c r="AC32"/>
      <x:c r="AD32" t="str">
        <x:v>16pin</x:v>
      </x:c>
      <x:c r="AE32" t="str">
        <x:v>unrated</x:v>
      </x:c>
      <x:c r="AF32" t="n">
        <x:v>338</x:v>
      </x:c>
      <x:c r="AG32" t="n">
        <x:v>360</x:v>
      </x:c>
      <x:c r="AH32"/>
    </x:row>
    <x:row r="33" ht="38" customHeight="1">
      <x:c r="A33" t="str">
        <x:v>gpu-gigabyte-gv-n208taorus-11gc</x:v>
      </x:c>
      <x:c r="B33" t="str">
        <x:v>GIGABYTE</x:v>
      </x:c>
      <x:c r="C33" t="str">
        <x:v>GV-N208TAORUS-11GC</x:v>
      </x:c>
      <x:c r="D33" t="str">
        <x:v>GIGABYTE AORUS GeForce RTX 2080 Ti 11G</x:v>
      </x:c>
      <x:c r="E33"/>
      <x:c r="F33"/>
      <x:c r="G33" t="str">
        <x:v>GV-N208TAORUS-11GC</x:v>
      </x:c>
      <x:c r="H33"/>
      <x:c r="I33" t="str">
        <x:v>GIGABYTE AORUS GeForce RTX 2080 Ti 11G</x:v>
      </x:c>
      <x:c r="J33" t="str">
        <x:v>research_required</x:v>
      </x:c>
      <x:c r="K33" t="str">
        <x:v>unrated</x:v>
      </x:c>
      <x:c r="L33" s="137" t="n">
        <x:v>46219</x:v>
      </x:c>
      <x:c r="M33" t="str">
        <x:v>メーカー公式仕様で完全型番・搭載GPU・物理仕様を確認。独立レビューと国内保証は未確認のため品質未評価。</x:v>
      </x:c>
      <x:c r="N33" t="str">
        <x:v>290mm長
WINDFORCE Stack 3X
8ピン補助電源2本</x:v>
      </x:c>
      <x:c r="O33" t="str">
        <x:v>独立レビュー未確認
実測騒音未確認
国内代理店・保証条件未確認</x:v>
      </x:c>
      <x:c r="P33" t="str">
        <x:v>旧世代・終売流通を含むため、中古・開封品・改版・保証残存期間の確認が必要</x:v>
      </x:c>
      <x:c r="Q33" t="str">
        <x:v>メーカー公式仕様を初期登録。ASIN・JAN・価格.com IDは未確認。購入監視に使う前に販売ページの完全型番、状態、国内保証、リビジョンを照合してください。</x:v>
      </x:c>
      <x:c r="R33" t="str">
        <x:v>nvidia-geforce-rtx-2080-ti</x:v>
      </x:c>
      <x:c r="S33" t="str">
        <x:v>AORUS</x:v>
      </x:c>
      <x:c r="T33" t="str">
        <x:v>GV-N208TAORUS-11GC</x:v>
      </x:c>
      <x:c r="U33"/>
      <x:c r="V33" t="str">
        <x:v>gigabyte-windforce-stack-3x-rtx2080ti</x:v>
      </x:c>
      <x:c r="W33" s="9" t="b">
        <x:v>1</x:v>
      </x:c>
      <x:c r="X33" s="9" t="b">
        <x:v>0</x:v>
      </x:c>
      <x:c r="Y33"/>
      <x:c r="Z33"/>
      <x:c r="AA33" t="str">
        <x:v>unknown</x:v>
      </x:c>
      <x:c r="AB33" t="n">
        <x:v>3</x:v>
      </x:c>
      <x:c r="AC33"/>
      <x:c r="AD33" t="str">
        <x:v>2x8pin</x:v>
      </x:c>
      <x:c r="AE33" t="str">
        <x:v>unrated</x:v>
      </x:c>
      <x:c r="AF33" t="n">
        <x:v>290</x:v>
      </x:c>
      <x:c r="AG33"/>
      <x:c r="AH33"/>
    </x:row>
    <x:row r="34" ht="38" customHeight="1">
      <x:c r="A34" t="str">
        <x:v>gpu-gigabyte-gv-n3070gaming-oc-8gd-rev-10</x:v>
      </x:c>
      <x:c r="B34" t="str">
        <x:v>GIGABYTE</x:v>
      </x:c>
      <x:c r="C34" t="str">
        <x:v>GV-N3070GAMING OC-8GD</x:v>
      </x:c>
      <x:c r="D34" t="str">
        <x:v>GIGABYTE GeForce RTX 3070 GAMING OC 8G Rev. 1.0</x:v>
      </x:c>
      <x:c r="E34"/>
      <x:c r="F34"/>
      <x:c r="G34" t="str">
        <x:v>GV-N3070GAMING OC-8GD</x:v>
      </x:c>
      <x:c r="H34"/>
      <x:c r="I34" t="str">
        <x:v>GIGABYTE GeForce RTX 3070 GAMING OC 8G Rev. 1.0</x:v>
      </x:c>
      <x:c r="J34" t="str">
        <x:v>research_required</x:v>
      </x:c>
      <x:c r="K34" t="str">
        <x:v>unrated</x:v>
      </x:c>
      <x:c r="L34" s="137" t="n">
        <x:v>46219</x:v>
      </x:c>
      <x:c r="M34" t="str">
        <x:v>メーカー公式仕様で完全型番・搭載GPU・物理仕様を確認。独立レビューと国内保証は未確認のため品質未評価。</x:v>
      </x:c>
      <x:c r="N34" t="str">
        <x:v>Rev. 1.0を明示
286mm長
8ピン+6ピン補助電源</x:v>
      </x:c>
      <x:c r="O34" t="str">
        <x:v>独立レビュー未確認
実測騒音未確認
国内代理店・保証条件未確認</x:v>
      </x:c>
      <x:c r="P34" t="str">
        <x:v>旧世代・終売流通を含むため、中古・開封品・改版・保証残存期間の確認が必要</x:v>
      </x:c>
      <x:c r="Q34" t="str">
        <x:v>メーカー公式仕様を初期登録。ASIN・JAN・価格.com IDは未確認。購入監視に使う前に販売ページの完全型番、状態、国内保証、リビジョンを照合してください。</x:v>
      </x:c>
      <x:c r="R34" t="str">
        <x:v>nvidia-geforce-rtx-3070</x:v>
      </x:c>
      <x:c r="S34" t="str">
        <x:v>GAMING OC</x:v>
      </x:c>
      <x:c r="T34" t="str">
        <x:v>GV-N3070GAMING OC-8GD</x:v>
      </x:c>
      <x:c r="U34" t="str">
        <x:v>1.0</x:v>
      </x:c>
      <x:c r="V34" t="str">
        <x:v>gigabyte-windforce-3x-rtx3070-rev1</x:v>
      </x:c>
      <x:c r="W34" s="9" t="b">
        <x:v>1</x:v>
      </x:c>
      <x:c r="X34" s="9" t="b">
        <x:v>0</x:v>
      </x:c>
      <x:c r="Y34"/>
      <x:c r="Z34"/>
      <x:c r="AA34" t="str">
        <x:v>unknown</x:v>
      </x:c>
      <x:c r="AB34" t="n">
        <x:v>3</x:v>
      </x:c>
      <x:c r="AC34"/>
      <x:c r="AD34" t="str">
        <x:v>8pin+6pin</x:v>
      </x:c>
      <x:c r="AE34" t="str">
        <x:v>unrated</x:v>
      </x:c>
      <x:c r="AF34" t="n">
        <x:v>286</x:v>
      </x:c>
      <x:c r="AG34"/>
      <x:c r="AH34"/>
    </x:row>
    <x:row r="35" ht="38" customHeight="1">
      <x:c r="A35" t="str">
        <x:v>gpu-gigabyte-gv-n4090gaming-oc-24gd-rev-10-11</x:v>
      </x:c>
      <x:c r="B35" t="str">
        <x:v>GIGABYTE</x:v>
      </x:c>
      <x:c r="C35" t="str">
        <x:v>GV-N4090GAMING OC-24GD</x:v>
      </x:c>
      <x:c r="D35" t="str">
        <x:v>GIGABYTE GeForce RTX 4090 GAMING OC 24G Rev. 1.0 / 1.1</x:v>
      </x:c>
      <x:c r="E35"/>
      <x:c r="F35"/>
      <x:c r="G35" t="str">
        <x:v>GV-N4090GAMING OC-24GD</x:v>
      </x:c>
      <x:c r="H35"/>
      <x:c r="I35" t="str">
        <x:v>GIGABYTE GeForce RTX 4090 GAMING OC 24G Rev. 1.0 / 1.1</x:v>
      </x:c>
      <x:c r="J35" t="str">
        <x:v>research_required</x:v>
      </x:c>
      <x:c r="K35" t="str">
        <x:v>unrated</x:v>
      </x:c>
      <x:c r="L35" s="137" t="n">
        <x:v>46219</x:v>
      </x:c>
      <x:c r="M35" t="str">
        <x:v>メーカー公式仕様で完全型番・搭載GPU・物理仕様を確認。独立レビューと国内保証は未確認のため品質未評価。</x:v>
      </x:c>
      <x:c r="N35" t="str">
        <x:v>Rev. 1.0/1.1を明示
340mm長
16ピン補助電源1本</x:v>
      </x:c>
      <x:c r="O35" t="str">
        <x:v>独立レビュー未確認
実測騒音未確認
国内代理店・保証条件未確認</x:v>
      </x:c>
      <x:c r="P35" t="str">
        <x:v>同名別型番・地域差・国内流通保証・販売ページ上の完全型番の確認が必要</x:v>
      </x:c>
      <x:c r="Q35" t="str">
        <x:v>メーカー公式仕様を初期登録。ASIN・JAN・価格.com IDは未確認。購入監視に使う前に販売ページの完全型番、状態、国内保証、リビジョンを照合してください。</x:v>
      </x:c>
      <x:c r="R35" t="str">
        <x:v>nvidia-geforce-rtx-4090</x:v>
      </x:c>
      <x:c r="S35" t="str">
        <x:v>GAMING OC</x:v>
      </x:c>
      <x:c r="T35" t="str">
        <x:v>GV-N4090GAMING OC-24GD</x:v>
      </x:c>
      <x:c r="U35" t="str">
        <x:v>1.0 / 1.1</x:v>
      </x:c>
      <x:c r="V35" t="str">
        <x:v>gigabyte-windforce-3x-rtx4090-rev1</x:v>
      </x:c>
      <x:c r="W35" s="9" t="b">
        <x:v>1</x:v>
      </x:c>
      <x:c r="X35" s="9" t="b">
        <x:v>0</x:v>
      </x:c>
      <x:c r="Y35"/>
      <x:c r="Z35"/>
      <x:c r="AA35" t="str">
        <x:v>unknown</x:v>
      </x:c>
      <x:c r="AB35" t="n">
        <x:v>3</x:v>
      </x:c>
      <x:c r="AC35"/>
      <x:c r="AD35" t="str">
        <x:v>16pin</x:v>
      </x:c>
      <x:c r="AE35" t="str">
        <x:v>unrated</x:v>
      </x:c>
      <x:c r="AF35" t="n">
        <x:v>340</x:v>
      </x:c>
      <x:c r="AG35"/>
      <x:c r="AH35"/>
    </x:row>
    <x:row r="36" ht="38" customHeight="1">
      <x:c r="A36" t="str">
        <x:v>gpu-gigabyte-gv-n5090gaming-oc-32gd</x:v>
      </x:c>
      <x:c r="B36" t="str">
        <x:v>GIGABYTE</x:v>
      </x:c>
      <x:c r="C36" t="str">
        <x:v>GV-N5090GAMING OC-32GD</x:v>
      </x:c>
      <x:c r="D36" t="str">
        <x:v>GIGABYTE GeForce RTX 5090 GAMING OC 32G</x:v>
      </x:c>
      <x:c r="E36"/>
      <x:c r="F36"/>
      <x:c r="G36" t="str">
        <x:v>GV-N5090GAMING OC-32GD</x:v>
      </x:c>
      <x:c r="H36"/>
      <x:c r="I36" t="str">
        <x:v>GIGABYTE GeForce RTX 5090 GAMING OC 32G</x:v>
      </x:c>
      <x:c r="J36" t="str">
        <x:v>research_required</x:v>
      </x:c>
      <x:c r="K36" t="str">
        <x:v>unrated</x:v>
      </x:c>
      <x:c r="L36" s="137" t="n">
        <x:v>46219</x:v>
      </x:c>
      <x:c r="M36" t="str">
        <x:v>メーカー公式仕様で完全型番・搭載GPU・物理仕様を確認。独立レビューと国内保証は未確認のため品質未評価。</x:v>
      </x:c>
      <x:c r="N36" t="str">
        <x:v>342mm長
トリプルファン
12V-2x6変換アダプター同梱</x:v>
      </x:c>
      <x:c r="O36" t="str">
        <x:v>独立レビュー未確認
実測騒音未確認
国内代理店・保証条件未確認</x:v>
      </x:c>
      <x:c r="P36" t="str">
        <x:v>同名別型番・地域差・国内流通保証・販売ページ上の完全型番の確認が必要</x:v>
      </x:c>
      <x:c r="Q36" t="str">
        <x:v>メーカー公式仕様を初期登録。ASIN・JAN・価格.com IDは未確認。購入監視に使う前に販売ページの完全型番、状態、国内保証、リビジョンを照合してください。</x:v>
      </x:c>
      <x:c r="R36" t="str">
        <x:v>nvidia-geforce-rtx-5090</x:v>
      </x:c>
      <x:c r="S36" t="str">
        <x:v>GAMING OC</x:v>
      </x:c>
      <x:c r="T36" t="str">
        <x:v>GV-N5090GAMING OC-32GD</x:v>
      </x:c>
      <x:c r="U36"/>
      <x:c r="V36" t="str">
        <x:v>gigabyte-windforce-3x-rtx5090</x:v>
      </x:c>
      <x:c r="W36" s="9" t="b">
        <x:v>1</x:v>
      </x:c>
      <x:c r="X36" s="9" t="b">
        <x:v>0</x:v>
      </x:c>
      <x:c r="Y36"/>
      <x:c r="Z36"/>
      <x:c r="AA36" t="str">
        <x:v>unknown</x:v>
      </x:c>
      <x:c r="AB36" t="n">
        <x:v>3</x:v>
      </x:c>
      <x:c r="AC36"/>
      <x:c r="AD36" t="str">
        <x:v>12V-2x6</x:v>
      </x:c>
      <x:c r="AE36" t="str">
        <x:v>unrated</x:v>
      </x:c>
      <x:c r="AF36" t="n">
        <x:v>342</x:v>
      </x:c>
      <x:c r="AG36"/>
      <x:c r="AH36"/>
    </x:row>
    <x:row r="37" ht="38" customHeight="1">
      <x:c r="A37" t="str">
        <x:v>gpu-sapphire-11304-03-20g</x:v>
      </x:c>
      <x:c r="B37" t="str">
        <x:v>SAPPHIRE</x:v>
      </x:c>
      <x:c r="C37" t="str">
        <x:v>11304-03-20G</x:v>
      </x:c>
      <x:c r="D37" t="str">
        <x:v>SAPPHIRE PULSE AMD Radeon RX 6800 XT 16GB</x:v>
      </x:c>
      <x:c r="E37"/>
      <x:c r="F37"/>
      <x:c r="G37" t="str">
        <x:v>11304-03-20G</x:v>
      </x:c>
      <x:c r="H37"/>
      <x:c r="I37" t="str">
        <x:v>SAPPHIRE PULSE AMD Radeon RX 6800 XT 16GB</x:v>
      </x:c>
      <x:c r="J37" t="str">
        <x:v>research_required</x:v>
      </x:c>
      <x:c r="K37" t="str">
        <x:v>unrated</x:v>
      </x:c>
      <x:c r="L37" s="137" t="n">
        <x:v>46219</x:v>
      </x:c>
      <x:c r="M37" t="str">
        <x:v>メーカー公式仕様で完全型番・搭載GPU・物理仕様を確認。独立レビューと国内保証は未確認のため品質未評価。</x:v>
      </x:c>
      <x:c r="N37" t="str">
        <x:v>313mm長
Tri-Xトリプルファン
公式ボード電力350W</x:v>
      </x:c>
      <x:c r="O37" t="str">
        <x:v>独立レビュー未確認
実測騒音未確認
国内代理店・保証条件未確認</x:v>
      </x:c>
      <x:c r="P37" t="str">
        <x:v>旧世代・終売流通を含むため、中古・開封品・改版・保証残存期間の確認が必要</x:v>
      </x:c>
      <x:c r="Q37" t="str">
        <x:v>メーカー公式仕様を初期登録。ASIN・JAN・価格.com IDは未確認。購入監視に使う前に販売ページの完全型番、状態、国内保証、リビジョンを照合してください。</x:v>
      </x:c>
      <x:c r="R37" t="str">
        <x:v>amd-radeon-rx-6800-xt</x:v>
      </x:c>
      <x:c r="S37" t="str">
        <x:v>PULSE</x:v>
      </x:c>
      <x:c r="T37" t="str">
        <x:v>PULSE Radeon RX 6800 XT 16GB</x:v>
      </x:c>
      <x:c r="U37"/>
      <x:c r="V37" t="str">
        <x:v>sapphire-tri-x-pulse-rx6800xt</x:v>
      </x:c>
      <x:c r="W37" s="9" t="b">
        <x:v>1</x:v>
      </x:c>
      <x:c r="X37" s="9" t="b">
        <x:v>0</x:v>
      </x:c>
      <x:c r="Y37"/>
      <x:c r="Z37"/>
      <x:c r="AA37" t="str">
        <x:v>unknown</x:v>
      </x:c>
      <x:c r="AB37" t="n">
        <x:v>3</x:v>
      </x:c>
      <x:c r="AC37" t="n">
        <x:v>2.7</x:v>
      </x:c>
      <x:c r="AD37" t="str">
        <x:v>2x8pin</x:v>
      </x:c>
      <x:c r="AE37" t="str">
        <x:v>unrated</x:v>
      </x:c>
      <x:c r="AF37" t="n">
        <x:v>313</x:v>
      </x:c>
      <x:c r="AG37" t="n">
        <x:v>350</x:v>
      </x:c>
      <x:c r="AH37"/>
    </x:row>
    <x:row r="38" ht="38" customHeight="1">
      <x:c r="A38" t="str">
        <x:v>gpu-sapphire-11317-04-20g</x:v>
      </x:c>
      <x:c r="B38" t="str">
        <x:v>SAPPHIRE</x:v>
      </x:c>
      <x:c r="C38" t="str">
        <x:v>11317-04-20G</x:v>
      </x:c>
      <x:c r="D38" t="str">
        <x:v>SAPPHIRE NITRO+ AMD Radeon RX 6950 XT PURE 16GB</x:v>
      </x:c>
      <x:c r="E38"/>
      <x:c r="F38"/>
      <x:c r="G38" t="str">
        <x:v>11317-04-20G</x:v>
      </x:c>
      <x:c r="H38"/>
      <x:c r="I38" t="str">
        <x:v>SAPPHIRE NITRO+ AMD Radeon RX 6950 XT PURE 16GB</x:v>
      </x:c>
      <x:c r="J38" t="str">
        <x:v>research_required</x:v>
      </x:c>
      <x:c r="K38" t="str">
        <x:v>unrated</x:v>
      </x:c>
      <x:c r="L38" s="137" t="n">
        <x:v>46219</x:v>
      </x:c>
      <x:c r="M38" t="str">
        <x:v>メーカー公式仕様で完全型番・搭載GPU・物理仕様を確認。独立レビューと国内保証は未確認のため品質未評価。</x:v>
      </x:c>
      <x:c r="N38" t="str">
        <x:v>320mm長
3.5スロット
公式ボード電力405W</x:v>
      </x:c>
      <x:c r="O38" t="str">
        <x:v>独立レビュー未確認
実測騒音未確認
国内代理店・保証条件未確認</x:v>
      </x:c>
      <x:c r="P38" t="str">
        <x:v>旧世代・終売流通を含むため、中古・開封品・改版・保証残存期間の確認が必要</x:v>
      </x:c>
      <x:c r="Q38" t="str">
        <x:v>メーカー公式仕様を初期登録。ASIN・JAN・価格.com IDは未確認。購入監視に使う前に販売ページの完全型番、状態、国内保証、リビジョンを照合してください。</x:v>
      </x:c>
      <x:c r="R38" t="str">
        <x:v>amd-radeon-rx-6950-xt</x:v>
      </x:c>
      <x:c r="S38" t="str">
        <x:v>NITRO+ PURE</x:v>
      </x:c>
      <x:c r="T38" t="str">
        <x:v>NITRO+ Radeon RX 6950 XT PURE 16GB</x:v>
      </x:c>
      <x:c r="U38"/>
      <x:c r="V38" t="str">
        <x:v>sapphire-tri-x-nitro-pure-rx6950xt</x:v>
      </x:c>
      <x:c r="W38" s="9" t="b">
        <x:v>1</x:v>
      </x:c>
      <x:c r="X38" s="9" t="b">
        <x:v>0</x:v>
      </x:c>
      <x:c r="Y38"/>
      <x:c r="Z38"/>
      <x:c r="AA38" t="str">
        <x:v>unknown</x:v>
      </x:c>
      <x:c r="AB38" t="n">
        <x:v>3</x:v>
      </x:c>
      <x:c r="AC38" t="n">
        <x:v>3.5</x:v>
      </x:c>
      <x:c r="AD38" t="str">
        <x:v>2x8pin+6pin</x:v>
      </x:c>
      <x:c r="AE38" t="str">
        <x:v>unrated</x:v>
      </x:c>
      <x:c r="AF38" t="n">
        <x:v>320</x:v>
      </x:c>
      <x:c r="AG38" t="n">
        <x:v>405</x:v>
      </x:c>
      <x:c r="AH38"/>
    </x:row>
    <x:row r="39" ht="38" customHeight="1">
      <x:c r="A39" t="str">
        <x:v>gpu-sapphire-11330-03-20g</x:v>
      </x:c>
      <x:c r="B39" t="str">
        <x:v>SAPPHIRE</x:v>
      </x:c>
      <x:c r="C39" t="str">
        <x:v>11330-03-20G</x:v>
      </x:c>
      <x:c r="D39" t="str">
        <x:v>SAPPHIRE PURE AMD Radeon RX 7800 XT 16GB</x:v>
      </x:c>
      <x:c r="E39"/>
      <x:c r="F39"/>
      <x:c r="G39" t="str">
        <x:v>11330-03-20G</x:v>
      </x:c>
      <x:c r="H39"/>
      <x:c r="I39" t="str">
        <x:v>SAPPHIRE PURE AMD Radeon RX 7800 XT 16GB</x:v>
      </x:c>
      <x:c r="J39" t="str">
        <x:v>research_required</x:v>
      </x:c>
      <x:c r="K39" t="str">
        <x:v>unrated</x:v>
      </x:c>
      <x:c r="L39" s="137" t="n">
        <x:v>46219</x:v>
      </x:c>
      <x:c r="M39" t="str">
        <x:v>メーカー公式仕様で完全型番・搭載GPU・物理仕様を確認。独立レビューと国内保証は未確認のため品質未評価。</x:v>
      </x:c>
      <x:c r="N39" t="str">
        <x:v>320mm長
2.5スロット
公式ボード電力270W</x:v>
      </x:c>
      <x:c r="O39" t="str">
        <x:v>独立レビュー未確認
実測騒音未確認
国内代理店・保証条件未確認</x:v>
      </x:c>
      <x:c r="P39" t="str">
        <x:v>同名別型番・地域差・国内流通保証・販売ページ上の完全型番の確認が必要</x:v>
      </x:c>
      <x:c r="Q39" t="str">
        <x:v>メーカー公式仕様を初期登録。ASIN・JAN・価格.com IDは未確認。購入監視に使う前に販売ページの完全型番、状態、国内保証、リビジョンを照合してください。</x:v>
      </x:c>
      <x:c r="R39" t="str">
        <x:v>amd-radeon-rx-7800-xt</x:v>
      </x:c>
      <x:c r="S39" t="str">
        <x:v>PURE</x:v>
      </x:c>
      <x:c r="T39" t="str">
        <x:v>PURE Radeon RX 7800 XT 16GB</x:v>
      </x:c>
      <x:c r="U39"/>
      <x:c r="V39" t="str">
        <x:v>sapphire-tri-x-pure-rx7800xt</x:v>
      </x:c>
      <x:c r="W39" s="9" t="b">
        <x:v>1</x:v>
      </x:c>
      <x:c r="X39" s="9" t="b">
        <x:v>0</x:v>
      </x:c>
      <x:c r="Y39"/>
      <x:c r="Z39"/>
      <x:c r="AA39" t="str">
        <x:v>unknown</x:v>
      </x:c>
      <x:c r="AB39" t="n">
        <x:v>3</x:v>
      </x:c>
      <x:c r="AC39" t="n">
        <x:v>2.5</x:v>
      </x:c>
      <x:c r="AD39" t="str">
        <x:v>2x8pin</x:v>
      </x:c>
      <x:c r="AE39" t="str">
        <x:v>unrated</x:v>
      </x:c>
      <x:c r="AF39" t="n">
        <x:v>320</x:v>
      </x:c>
      <x:c r="AG39" t="n">
        <x:v>270</x:v>
      </x:c>
      <x:c r="AH39"/>
    </x:row>
    <x:row r="40" ht="38" customHeight="1">
      <x:c r="A40" t="str">
        <x:v>gpu-sapphire-11350-03-20g</x:v>
      </x:c>
      <x:c r="B40" t="str">
        <x:v>SAPPHIRE</x:v>
      </x:c>
      <x:c r="C40" t="str">
        <x:v>11350-03-20G</x:v>
      </x:c>
      <x:c r="D40" t="str">
        <x:v>SAPPHIRE PULSE AMD Radeon RX 9060 XT OC 16GB</x:v>
      </x:c>
      <x:c r="E40"/>
      <x:c r="F40"/>
      <x:c r="G40" t="str">
        <x:v>11350-03-20G</x:v>
      </x:c>
      <x:c r="H40"/>
      <x:c r="I40" t="str">
        <x:v>SAPPHIRE PULSE AMD Radeon RX 9060 XT OC 16GB</x:v>
      </x:c>
      <x:c r="J40" t="str">
        <x:v>research_required</x:v>
      </x:c>
      <x:c r="K40" t="str">
        <x:v>unrated</x:v>
      </x:c>
      <x:c r="L40" s="137" t="n">
        <x:v>46219</x:v>
      </x:c>
      <x:c r="M40" t="str">
        <x:v>メーカー公式仕様で完全型番・搭載GPU・物理仕様を確認。独立レビューと国内保証は未確認のため品質未評価。</x:v>
      </x:c>
      <x:c r="N40" t="str">
        <x:v>240mm長
Dual-Xデュアルファン
公式ボード電力170W</x:v>
      </x:c>
      <x:c r="O40" t="str">
        <x:v>独立レビュー未確認
実測騒音未確認
国内代理店・保証条件未確認</x:v>
      </x:c>
      <x:c r="P40" t="str">
        <x:v>同名別型番・地域差・国内流通保証・販売ページ上の完全型番の確認が必要</x:v>
      </x:c>
      <x:c r="Q40" t="str">
        <x:v>メーカー公式仕様を初期登録。ASIN・JAN・価格.com IDは未確認。購入監視に使う前に販売ページの完全型番、状態、国内保証、リビジョンを照合してください。</x:v>
      </x:c>
      <x:c r="R40" t="str">
        <x:v>amd-radeon-rx-9060-xt-16gb</x:v>
      </x:c>
      <x:c r="S40" t="str">
        <x:v>PULSE</x:v>
      </x:c>
      <x:c r="T40" t="str">
        <x:v>PULSE Radeon RX 9060 XT OC 16GB</x:v>
      </x:c>
      <x:c r="U40"/>
      <x:c r="V40" t="str">
        <x:v>sapphire-dual-x-pulse-rx9060xt</x:v>
      </x:c>
      <x:c r="W40" s="9" t="b">
        <x:v>1</x:v>
      </x:c>
      <x:c r="X40" s="9" t="b">
        <x:v>0</x:v>
      </x:c>
      <x:c r="Y40"/>
      <x:c r="Z40"/>
      <x:c r="AA40" t="str">
        <x:v>unknown</x:v>
      </x:c>
      <x:c r="AB40" t="n">
        <x:v>2</x:v>
      </x:c>
      <x:c r="AC40" t="n">
        <x:v>2.3</x:v>
      </x:c>
      <x:c r="AD40" t="str">
        <x:v>8pin</x:v>
      </x:c>
      <x:c r="AE40" t="str">
        <x:v>unrated</x:v>
      </x:c>
      <x:c r="AF40" t="n">
        <x:v>240</x:v>
      </x:c>
      <x:c r="AG40" t="n">
        <x:v>170</x:v>
      </x:c>
      <x:c r="AH40"/>
    </x:row>
    <x:row r="41" ht="38" customHeight="1">
      <x:c r="A41" t="str">
        <x:v>gpu-powercolor-axrx-6800xt-16gbd6-3dhr-oc</x:v>
      </x:c>
      <x:c r="B41" t="str">
        <x:v>PowerColor</x:v>
      </x:c>
      <x:c r="C41" t="str">
        <x:v>AXRX 6800 XT 16GBD6-3DHR/OC</x:v>
      </x:c>
      <x:c r="D41" t="str">
        <x:v>PowerColor Red Dragon AMD Radeon RX 6800 XT 16GB</x:v>
      </x:c>
      <x:c r="E41"/>
      <x:c r="F41"/>
      <x:c r="G41" t="str">
        <x:v>AXRX 6800 XT 16GBD6-3DHR/OC</x:v>
      </x:c>
      <x:c r="H41"/>
      <x:c r="I41" t="str">
        <x:v>PowerColor Red Dragon AMD Radeon RX 6800 XT 16GB</x:v>
      </x:c>
      <x:c r="J41" t="str">
        <x:v>research_required</x:v>
      </x:c>
      <x:c r="K41" t="str">
        <x:v>unrated</x:v>
      </x:c>
      <x:c r="L41" s="137" t="n">
        <x:v>46219</x:v>
      </x:c>
      <x:c r="M41" t="str">
        <x:v>メーカー公式仕様で完全型番・搭載GPU・物理仕様を確認。独立レビューと国内保証は未確認のため品質未評価。</x:v>
      </x:c>
      <x:c r="N41" t="str">
        <x:v>310mm長
トリプルファン
8ピン補助電源2本</x:v>
      </x:c>
      <x:c r="O41" t="str">
        <x:v>独立レビュー未確認
実測騒音未確認
国内代理店・保証条件未確認</x:v>
      </x:c>
      <x:c r="P41" t="str">
        <x:v>旧世代・終売流通を含むため、中古・開封品・改版・保証残存期間の確認が必要</x:v>
      </x:c>
      <x:c r="Q41" t="str">
        <x:v>メーカー公式仕様を初期登録。ASIN・JAN・価格.com IDは未確認。購入監視に使う前に販売ページの完全型番、状態、国内保証、リビジョンを照合してください。</x:v>
      </x:c>
      <x:c r="R41" t="str">
        <x:v>amd-radeon-rx-6800-xt</x:v>
      </x:c>
      <x:c r="S41" t="str">
        <x:v>Red Dragon</x:v>
      </x:c>
      <x:c r="T41" t="str">
        <x:v>AXRX 6800 XT 16GBD6-3DHR/OC</x:v>
      </x:c>
      <x:c r="U41"/>
      <x:c r="V41" t="str">
        <x:v>powercolor-red-dragon-rx6800xt</x:v>
      </x:c>
      <x:c r="W41" s="9" t="b">
        <x:v>1</x:v>
      </x:c>
      <x:c r="X41" s="9" t="b">
        <x:v>0</x:v>
      </x:c>
      <x:c r="Y41"/>
      <x:c r="Z41"/>
      <x:c r="AA41" t="str">
        <x:v>unknown</x:v>
      </x:c>
      <x:c r="AB41" t="n">
        <x:v>3</x:v>
      </x:c>
      <x:c r="AC41"/>
      <x:c r="AD41" t="str">
        <x:v>2x8pin</x:v>
      </x:c>
      <x:c r="AE41" t="str">
        <x:v>unrated</x:v>
      </x:c>
      <x:c r="AF41" t="n">
        <x:v>310</x:v>
      </x:c>
      <x:c r="AG41"/>
      <x:c r="AH41"/>
    </x:row>
    <x:row r="42" ht="38" customHeight="1">
      <x:c r="A42" t="str">
        <x:v>gpu-powercolor-rx7900xt-20g-l-oc</x:v>
      </x:c>
      <x:c r="B42" t="str">
        <x:v>PowerColor</x:v>
      </x:c>
      <x:c r="C42" t="str">
        <x:v>RX7900XT 20G-L/OC</x:v>
      </x:c>
      <x:c r="D42" t="str">
        <x:v>PowerColor Hellhound AMD Radeon RX 7900 XT 20GB</x:v>
      </x:c>
      <x:c r="E42"/>
      <x:c r="F42"/>
      <x:c r="G42" t="str">
        <x:v>RX7900XT 20G-L/OC</x:v>
      </x:c>
      <x:c r="H42"/>
      <x:c r="I42" t="str">
        <x:v>PowerColor Hellhound AMD Radeon RX 7900 XT 20GB</x:v>
      </x:c>
      <x:c r="J42" t="str">
        <x:v>research_required</x:v>
      </x:c>
      <x:c r="K42" t="str">
        <x:v>unrated</x:v>
      </x:c>
      <x:c r="L42" s="137" t="n">
        <x:v>46219</x:v>
      </x:c>
      <x:c r="M42" t="str">
        <x:v>メーカー公式仕様で完全型番・搭載GPU・物理仕様を確認。独立レビューと国内保証は未確認のため品質未評価。</x:v>
      </x:c>
      <x:c r="N42" t="str">
        <x:v>320mm長
3スロット
OC/Silent BIOSを公式掲載</x:v>
      </x:c>
      <x:c r="O42" t="str">
        <x:v>独立レビュー未確認
実測騒音未確認
国内代理店・保証条件未確認</x:v>
      </x:c>
      <x:c r="P42" t="str">
        <x:v>同名別型番・地域差・国内流通保証・販売ページ上の完全型番の確認が必要</x:v>
      </x:c>
      <x:c r="Q42" t="str">
        <x:v>メーカー公式仕様を初期登録。ASIN・JAN・価格.com IDは未確認。購入監視に使う前に販売ページの完全型番、状態、国内保証、リビジョンを照合してください。</x:v>
      </x:c>
      <x:c r="R42" t="str">
        <x:v>amd-radeon-rx-7900-xt</x:v>
      </x:c>
      <x:c r="S42" t="str">
        <x:v>Hellhound</x:v>
      </x:c>
      <x:c r="T42" t="str">
        <x:v>RX7900XT 20G-L/OC</x:v>
      </x:c>
      <x:c r="U42"/>
      <x:c r="V42" t="str">
        <x:v>powercolor-hellhound-rx7900xt</x:v>
      </x:c>
      <x:c r="W42" s="9" t="b">
        <x:v>1</x:v>
      </x:c>
      <x:c r="X42" s="9" t="b">
        <x:v>0</x:v>
      </x:c>
      <x:c r="Y42"/>
      <x:c r="Z42"/>
      <x:c r="AA42" t="str">
        <x:v>unknown</x:v>
      </x:c>
      <x:c r="AB42" t="n">
        <x:v>3</x:v>
      </x:c>
      <x:c r="AC42" t="n">
        <x:v>3</x:v>
      </x:c>
      <x:c r="AD42" t="str">
        <x:v>2x8pin</x:v>
      </x:c>
      <x:c r="AE42" t="str">
        <x:v>unrated</x:v>
      </x:c>
      <x:c r="AF42" t="n">
        <x:v>320</x:v>
      </x:c>
      <x:c r="AG42"/>
      <x:c r="AH42"/>
    </x:row>
    <x:row r="43" ht="38" customHeight="1">
      <x:c r="A43" t="str">
        <x:v>gpu-powercolor-rx7900gre-16g-l-oc</x:v>
      </x:c>
      <x:c r="B43" t="str">
        <x:v>PowerColor</x:v>
      </x:c>
      <x:c r="C43" t="str">
        <x:v>RX7900GRE 16G-L/OC</x:v>
      </x:c>
      <x:c r="D43" t="str">
        <x:v>PowerColor Hellhound AMD Radeon RX 7900 GRE 16GB</x:v>
      </x:c>
      <x:c r="E43"/>
      <x:c r="F43"/>
      <x:c r="G43" t="str">
        <x:v>RX7900GRE 16G-L/OC</x:v>
      </x:c>
      <x:c r="H43"/>
      <x:c r="I43" t="str">
        <x:v>PowerColor Hellhound AMD Radeon RX 7900 GRE 16GB</x:v>
      </x:c>
      <x:c r="J43" t="str">
        <x:v>research_required</x:v>
      </x:c>
      <x:c r="K43" t="str">
        <x:v>unrated</x:v>
      </x:c>
      <x:c r="L43" s="137" t="n">
        <x:v>46219</x:v>
      </x:c>
      <x:c r="M43" t="str">
        <x:v>メーカー公式仕様で完全型番・搭載GPU・物理仕様を確認。独立レビューと国内保証は未確認のため品質未評価。</x:v>
      </x:c>
      <x:c r="N43" t="str">
        <x:v>322mm長
2.5スロット
OC/Silent BIOSを公式掲載</x:v>
      </x:c>
      <x:c r="O43" t="str">
        <x:v>独立レビュー未確認
実測騒音未確認
国内代理店・保証条件未確認</x:v>
      </x:c>
      <x:c r="P43" t="str">
        <x:v>同名別型番・地域差・国内流通保証・販売ページ上の完全型番の確認が必要</x:v>
      </x:c>
      <x:c r="Q43" t="str">
        <x:v>メーカー公式仕様を初期登録。ASIN・JAN・価格.com IDは未確認。購入監視に使う前に販売ページの完全型番、状態、国内保証、リビジョンを照合してください。</x:v>
      </x:c>
      <x:c r="R43" t="str">
        <x:v>amd-radeon-rx-7900-gre</x:v>
      </x:c>
      <x:c r="S43" t="str">
        <x:v>Hellhound</x:v>
      </x:c>
      <x:c r="T43" t="str">
        <x:v>RX7900GRE 16G-L/OC</x:v>
      </x:c>
      <x:c r="U43"/>
      <x:c r="V43" t="str">
        <x:v>powercolor-hellhound-rx7900gre</x:v>
      </x:c>
      <x:c r="W43" s="9" t="b">
        <x:v>1</x:v>
      </x:c>
      <x:c r="X43" s="9" t="b">
        <x:v>0</x:v>
      </x:c>
      <x:c r="Y43"/>
      <x:c r="Z43"/>
      <x:c r="AA43" t="str">
        <x:v>unknown</x:v>
      </x:c>
      <x:c r="AB43" t="n">
        <x:v>3</x:v>
      </x:c>
      <x:c r="AC43" t="n">
        <x:v>2.5</x:v>
      </x:c>
      <x:c r="AD43" t="str">
        <x:v>2x8pin</x:v>
      </x:c>
      <x:c r="AE43" t="str">
        <x:v>unrated</x:v>
      </x:c>
      <x:c r="AF43" t="n">
        <x:v>322</x:v>
      </x:c>
      <x:c r="AG43"/>
      <x:c r="AH43"/>
    </x:row>
    <x:row r="44" ht="38" customHeight="1">
      <x:c r="A44" t="str">
        <x:v>gpu-powercolor-rx9070-16g-l-oc</x:v>
      </x:c>
      <x:c r="B44" t="str">
        <x:v>PowerColor</x:v>
      </x:c>
      <x:c r="C44" t="str">
        <x:v>RX9070 16G-L/OC</x:v>
      </x:c>
      <x:c r="D44" t="str">
        <x:v>PowerColor Hellhound AMD Radeon RX 9070 16GB</x:v>
      </x:c>
      <x:c r="E44"/>
      <x:c r="F44"/>
      <x:c r="G44" t="str">
        <x:v>RX9070 16G-L/OC</x:v>
      </x:c>
      <x:c r="H44"/>
      <x:c r="I44" t="str">
        <x:v>PowerColor Hellhound AMD Radeon RX 9070 16GB</x:v>
      </x:c>
      <x:c r="J44" t="str">
        <x:v>research_required</x:v>
      </x:c>
      <x:c r="K44" t="str">
        <x:v>unrated</x:v>
      </x:c>
      <x:c r="L44" s="137" t="n">
        <x:v>46219</x:v>
      </x:c>
      <x:c r="M44" t="str">
        <x:v>メーカー公式仕様で完全型番・搭載GPU・物理仕様を確認。独立レビューと国内保証は未確認のため品質未評価。</x:v>
      </x:c>
      <x:c r="N44" t="str">
        <x:v>327mm長
2スロット
Honeywell PTM7950を公式掲載</x:v>
      </x:c>
      <x:c r="O44" t="str">
        <x:v>独立レビュー未確認
実測騒音未確認
国内代理店・保証条件未確認</x:v>
      </x:c>
      <x:c r="P44" t="str">
        <x:v>同名別型番・地域差・国内流通保証・販売ページ上の完全型番の確認が必要</x:v>
      </x:c>
      <x:c r="Q44" t="str">
        <x:v>メーカー公式仕様を初期登録。ASIN・JAN・価格.com IDは未確認。購入監視に使う前に販売ページの完全型番、状態、国内保証、リビジョンを照合してください。</x:v>
      </x:c>
      <x:c r="R44" t="str">
        <x:v>amd-radeon-rx-9070</x:v>
      </x:c>
      <x:c r="S44" t="str">
        <x:v>Hellhound</x:v>
      </x:c>
      <x:c r="T44" t="str">
        <x:v>RX9070 16G-L/OC</x:v>
      </x:c>
      <x:c r="U44"/>
      <x:c r="V44" t="str">
        <x:v>powercolor-hellhound-rx9070</x:v>
      </x:c>
      <x:c r="W44" s="9" t="b">
        <x:v>1</x:v>
      </x:c>
      <x:c r="X44" s="9" t="b">
        <x:v>0</x:v>
      </x:c>
      <x:c r="Y44"/>
      <x:c r="Z44"/>
      <x:c r="AA44" t="str">
        <x:v>unknown</x:v>
      </x:c>
      <x:c r="AB44" t="n">
        <x:v>3</x:v>
      </x:c>
      <x:c r="AC44" t="n">
        <x:v>2</x:v>
      </x:c>
      <x:c r="AD44" t="str">
        <x:v>2x8pin</x:v>
      </x:c>
      <x:c r="AE44" t="str">
        <x:v>unrated</x:v>
      </x:c>
      <x:c r="AF44" t="n">
        <x:v>327</x:v>
      </x:c>
      <x:c r="AG44"/>
      <x:c r="AH44"/>
    </x:row>
    <x:row r="45" ht="38" customHeight="1">
      <x:c r="A45" t="str">
        <x:v>gpu-asrock-rx6400-cli-4g</x:v>
      </x:c>
      <x:c r="B45" t="str">
        <x:v>ASRock</x:v>
      </x:c>
      <x:c r="C45" t="str">
        <x:v>RX6400 CLI 4G</x:v>
      </x:c>
      <x:c r="D45" t="str">
        <x:v>ASRock AMD Radeon RX 6400 Challenger ITX 4GB</x:v>
      </x:c>
      <x:c r="E45"/>
      <x:c r="F45"/>
      <x:c r="G45" t="str">
        <x:v>RX6400 CLI 4G</x:v>
      </x:c>
      <x:c r="H45"/>
      <x:c r="I45" t="str">
        <x:v>ASRock AMD Radeon RX 6400 Challenger ITX 4GB</x:v>
      </x:c>
      <x:c r="J45" t="str">
        <x:v>research_required</x:v>
      </x:c>
      <x:c r="K45" t="str">
        <x:v>unrated</x:v>
      </x:c>
      <x:c r="L45" s="137" t="n">
        <x:v>46219</x:v>
      </x:c>
      <x:c r="M45" t="str">
        <x:v>メーカー公式仕様で完全型番・搭載GPU・物理仕様を確認。独立レビューと国内保証は未確認のため品質未評価。</x:v>
      </x:c>
      <x:c r="N45" t="str">
        <x:v>162mm長
シングルファン
補助電源不要</x:v>
      </x:c>
      <x:c r="O45" t="str">
        <x:v>独立レビュー未確認
実測騒音未確認
国内代理店・保証条件未確認</x:v>
      </x:c>
      <x:c r="P45" t="str">
        <x:v>旧世代・終売流通を含むため、中古・開封品・改版・保証残存期間の確認が必要</x:v>
      </x:c>
      <x:c r="Q45" t="str">
        <x:v>メーカー公式仕様を初期登録。ASIN・JAN・価格.com IDは未確認。購入監視に使う前に販売ページの完全型番、状態、国内保証、リビジョンを照合してください。</x:v>
      </x:c>
      <x:c r="R45" t="str">
        <x:v>amd-radeon-rx-6400</x:v>
      </x:c>
      <x:c r="S45" t="str">
        <x:v>Challenger ITX</x:v>
      </x:c>
      <x:c r="T45" t="str">
        <x:v>RX6400 CLI 4G</x:v>
      </x:c>
      <x:c r="U45"/>
      <x:c r="V45" t="str">
        <x:v>asrock-challenger-itx-rx6400</x:v>
      </x:c>
      <x:c r="W45" s="9" t="b">
        <x:v>0</x:v>
      </x:c>
      <x:c r="X45" s="9" t="b">
        <x:v>0</x:v>
      </x:c>
      <x:c r="Y45"/>
      <x:c r="Z45"/>
      <x:c r="AA45" t="str">
        <x:v>unknown</x:v>
      </x:c>
      <x:c r="AB45" t="n">
        <x:v>1</x:v>
      </x:c>
      <x:c r="AC45" t="n">
        <x:v>2</x:v>
      </x:c>
      <x:c r="AD45" t="str">
        <x:v>none</x:v>
      </x:c>
      <x:c r="AE45" t="str">
        <x:v>unrated</x:v>
      </x:c>
      <x:c r="AF45" t="n">
        <x:v>162</x:v>
      </x:c>
      <x:c r="AG45"/>
      <x:c r="AH45"/>
    </x:row>
    <x:row r="46" ht="38" customHeight="1">
      <x:c r="A46" t="str">
        <x:v>gpu-asrock-rx6500xt-cli-4g</x:v>
      </x:c>
      <x:c r="B46" t="str">
        <x:v>ASRock</x:v>
      </x:c>
      <x:c r="C46" t="str">
        <x:v>RX6500XT CLI 4G</x:v>
      </x:c>
      <x:c r="D46" t="str">
        <x:v>ASRock AMD Radeon RX 6500 XT Challenger ITX 4GB</x:v>
      </x:c>
      <x:c r="E46"/>
      <x:c r="F46"/>
      <x:c r="G46" t="str">
        <x:v>RX6500XT CLI 4G</x:v>
      </x:c>
      <x:c r="H46"/>
      <x:c r="I46" t="str">
        <x:v>ASRock AMD Radeon RX 6500 XT Challenger ITX 4GB</x:v>
      </x:c>
      <x:c r="J46" t="str">
        <x:v>research_required</x:v>
      </x:c>
      <x:c r="K46" t="str">
        <x:v>unrated</x:v>
      </x:c>
      <x:c r="L46" s="137" t="n">
        <x:v>46219</x:v>
      </x:c>
      <x:c r="M46" t="str">
        <x:v>メーカー公式仕様で完全型番・搭載GPU・物理仕様を確認。独立レビューと国内保証は未確認のため品質未評価。</x:v>
      </x:c>
      <x:c r="N46" t="str">
        <x:v>179mm長
シングルファン
8ピン補助電源1本</x:v>
      </x:c>
      <x:c r="O46" t="str">
        <x:v>独立レビュー未確認
実測騒音未確認
国内代理店・保証条件未確認</x:v>
      </x:c>
      <x:c r="P46" t="str">
        <x:v>旧世代・終売流通を含むため、中古・開封品・改版・保証残存期間の確認が必要</x:v>
      </x:c>
      <x:c r="Q46" t="str">
        <x:v>メーカー公式仕様を初期登録。ASIN・JAN・価格.com IDは未確認。購入監視に使う前に販売ページの完全型番、状態、国内保証、リビジョンを照合してください。</x:v>
      </x:c>
      <x:c r="R46" t="str">
        <x:v>amd-radeon-rx-6500-xt-4gb</x:v>
      </x:c>
      <x:c r="S46" t="str">
        <x:v>Challenger ITX</x:v>
      </x:c>
      <x:c r="T46" t="str">
        <x:v>RX6500XT CLI 4G</x:v>
      </x:c>
      <x:c r="U46"/>
      <x:c r="V46" t="str">
        <x:v>asrock-challenger-itx-rx6500xt</x:v>
      </x:c>
      <x:c r="W46" s="9" t="b">
        <x:v>0</x:v>
      </x:c>
      <x:c r="X46" s="9" t="b">
        <x:v>0</x:v>
      </x:c>
      <x:c r="Y46"/>
      <x:c r="Z46"/>
      <x:c r="AA46" t="str">
        <x:v>unknown</x:v>
      </x:c>
      <x:c r="AB46" t="n">
        <x:v>1</x:v>
      </x:c>
      <x:c r="AC46" t="n">
        <x:v>2</x:v>
      </x:c>
      <x:c r="AD46" t="str">
        <x:v>8pin</x:v>
      </x:c>
      <x:c r="AE46" t="str">
        <x:v>unrated</x:v>
      </x:c>
      <x:c r="AF46" t="n">
        <x:v>179</x:v>
      </x:c>
      <x:c r="AG46"/>
      <x:c r="AH46"/>
    </x:row>
    <x:row r="47" ht="38" customHeight="1">
      <x:c r="A47" t="str">
        <x:v>gpu-asrock-rx7600xt-sl-16go</x:v>
      </x:c>
      <x:c r="B47" t="str">
        <x:v>ASRock</x:v>
      </x:c>
      <x:c r="C47" t="str">
        <x:v>RX7600XT SL 16GO</x:v>
      </x:c>
      <x:c r="D47" t="str">
        <x:v>ASRock AMD Radeon RX 7600 XT Steel Legend 16GB OC</x:v>
      </x:c>
      <x:c r="E47"/>
      <x:c r="F47"/>
      <x:c r="G47" t="str">
        <x:v>RX7600XT SL 16GO</x:v>
      </x:c>
      <x:c r="H47"/>
      <x:c r="I47" t="str">
        <x:v>ASRock AMD Radeon RX 7600 XT Steel Legend 16GB OC</x:v>
      </x:c>
      <x:c r="J47" t="str">
        <x:v>research_required</x:v>
      </x:c>
      <x:c r="K47" t="str">
        <x:v>unrated</x:v>
      </x:c>
      <x:c r="L47" s="137" t="n">
        <x:v>46219</x:v>
      </x:c>
      <x:c r="M47" t="str">
        <x:v>メーカー公式仕様で完全型番・搭載GPU・物理仕様を確認。独立レビューと国内保証は未確認のため品質未評価。</x:v>
      </x:c>
      <x:c r="N47" t="str">
        <x:v>304mm長
トリプルファン
8ピン補助電源2本</x:v>
      </x:c>
      <x:c r="O47" t="str">
        <x:v>独立レビュー未確認
実測騒音未確認
国内代理店・保証条件未確認</x:v>
      </x:c>
      <x:c r="P47" t="str">
        <x:v>同名別型番・地域差・国内流通保証・販売ページ上の完全型番の確認が必要</x:v>
      </x:c>
      <x:c r="Q47" t="str">
        <x:v>メーカー公式仕様を初期登録。ASIN・JAN・価格.com IDは未確認。購入監視に使う前に販売ページの完全型番、状態、国内保証、リビジョンを照合してください。</x:v>
      </x:c>
      <x:c r="R47" t="str">
        <x:v>amd-radeon-rx-7600-xt</x:v>
      </x:c>
      <x:c r="S47" t="str">
        <x:v>Steel Legend</x:v>
      </x:c>
      <x:c r="T47" t="str">
        <x:v>RX7600XT SL 16GO</x:v>
      </x:c>
      <x:c r="U47"/>
      <x:c r="V47" t="str">
        <x:v>asrock-steel-legend-3x-rx7600xt</x:v>
      </x:c>
      <x:c r="W47" s="9" t="b">
        <x:v>1</x:v>
      </x:c>
      <x:c r="X47" s="9" t="b">
        <x:v>0</x:v>
      </x:c>
      <x:c r="Y47"/>
      <x:c r="Z47"/>
      <x:c r="AA47" t="str">
        <x:v>unknown</x:v>
      </x:c>
      <x:c r="AB47" t="n">
        <x:v>3</x:v>
      </x:c>
      <x:c r="AC47" t="n">
        <x:v>2.6</x:v>
      </x:c>
      <x:c r="AD47" t="str">
        <x:v>2x8pin</x:v>
      </x:c>
      <x:c r="AE47" t="str">
        <x:v>unrated</x:v>
      </x:c>
      <x:c r="AF47" t="n">
        <x:v>304</x:v>
      </x:c>
      <x:c r="AG47"/>
      <x:c r="AH47"/>
    </x:row>
    <x:row r="48" ht="38" customHeight="1">
      <x:c r="A48" t="str">
        <x:v>gpu-asrock-rx9060xt-sl-16go</x:v>
      </x:c>
      <x:c r="B48" t="str">
        <x:v>ASRock</x:v>
      </x:c>
      <x:c r="C48" t="str">
        <x:v>RX9060XT SL 16GO</x:v>
      </x:c>
      <x:c r="D48" t="str">
        <x:v>ASRock AMD Radeon RX 9060 XT Steel Legend 16GB OC</x:v>
      </x:c>
      <x:c r="E48"/>
      <x:c r="F48"/>
      <x:c r="G48" t="str">
        <x:v>RX9060XT SL 16GO</x:v>
      </x:c>
      <x:c r="H48"/>
      <x:c r="I48" t="str">
        <x:v>ASRock AMD Radeon RX 9060 XT Steel Legend 16GB OC</x:v>
      </x:c>
      <x:c r="J48" t="str">
        <x:v>research_required</x:v>
      </x:c>
      <x:c r="K48" t="str">
        <x:v>unrated</x:v>
      </x:c>
      <x:c r="L48" s="137" t="n">
        <x:v>46219</x:v>
      </x:c>
      <x:c r="M48" t="str">
        <x:v>メーカー公式仕様で完全型番・搭載GPU・物理仕様を確認。独立レビューと国内保証は未確認のため品質未評価。</x:v>
      </x:c>
      <x:c r="N48" t="str">
        <x:v>298mm長
トリプルファン
8ピン補助電源1本</x:v>
      </x:c>
      <x:c r="O48" t="str">
        <x:v>独立レビュー未確認
実測騒音未確認
国内代理店・保証条件未確認</x:v>
      </x:c>
      <x:c r="P48" t="str">
        <x:v>同名別型番・地域差・国内流通保証・販売ページ上の完全型番の確認が必要</x:v>
      </x:c>
      <x:c r="Q48" t="str">
        <x:v>メーカー公式仕様を初期登録。ASIN・JAN・価格.com IDは未確認。購入監視に使う前に販売ページの完全型番、状態、国内保証、リビジョンを照合してください。</x:v>
      </x:c>
      <x:c r="R48" t="str">
        <x:v>amd-radeon-rx-9060-xt-16gb</x:v>
      </x:c>
      <x:c r="S48" t="str">
        <x:v>Steel Legend</x:v>
      </x:c>
      <x:c r="T48" t="str">
        <x:v>RX9060XT SL 16GO</x:v>
      </x:c>
      <x:c r="U48"/>
      <x:c r="V48" t="str">
        <x:v>asrock-steel-legend-3x-rx9060xt</x:v>
      </x:c>
      <x:c r="W48" s="9" t="b">
        <x:v>1</x:v>
      </x:c>
      <x:c r="X48" s="9" t="b">
        <x:v>0</x:v>
      </x:c>
      <x:c r="Y48"/>
      <x:c r="Z48"/>
      <x:c r="AA48" t="str">
        <x:v>unknown</x:v>
      </x:c>
      <x:c r="AB48" t="n">
        <x:v>3</x:v>
      </x:c>
      <x:c r="AC48" t="n">
        <x:v>2.55</x:v>
      </x:c>
      <x:c r="AD48" t="str">
        <x:v>8pin</x:v>
      </x:c>
      <x:c r="AE48" t="str">
        <x:v>unrated</x:v>
      </x:c>
      <x:c r="AF48" t="n">
        <x:v>298</x:v>
      </x:c>
      <x:c r="AG48"/>
      <x:c r="AH48"/>
    </x:row>
    <x:row r="49" ht="38" customHeight="1">
      <x:c r="A49"/>
      <x:c r="B49"/>
      <x:c r="C49"/>
      <x:c r="D49"/>
      <x:c r="E49"/>
      <x:c r="F49"/>
      <x:c r="G49"/>
      <x:c r="H49"/>
      <x:c r="I49"/>
      <x:c r="J49"/>
      <x:c r="K49"/>
      <x:c r="L49" s="137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  <x:c r="AA49"/>
      <x:c r="AB49"/>
      <x:c r="AC49"/>
      <x:c r="AD49"/>
      <x:c r="AE49"/>
      <x:c r="AF49"/>
      <x:c r="AG49"/>
      <x:c r="AH49"/>
    </x:row>
    <x:row r="50" ht="38" customHeight="1">
      <x:c r="A50"/>
      <x:c r="B50"/>
      <x:c r="C50"/>
      <x:c r="D50"/>
      <x:c r="E50"/>
      <x:c r="F50"/>
      <x:c r="G50"/>
      <x:c r="H50"/>
      <x:c r="I50"/>
      <x:c r="J50"/>
      <x:c r="K50"/>
      <x:c r="L50" s="137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  <x:c r="AA50"/>
      <x:c r="AB50"/>
      <x:c r="AC50"/>
      <x:c r="AD50"/>
      <x:c r="AE50"/>
      <x:c r="AF50"/>
      <x:c r="AG50"/>
      <x:c r="AH50"/>
    </x:row>
    <x:row r="51" ht="38" customHeight="1">
      <x:c r="A51"/>
      <x:c r="B51"/>
      <x:c r="C51"/>
      <x:c r="D51"/>
      <x:c r="E51"/>
      <x:c r="F51"/>
      <x:c r="G51"/>
      <x:c r="H51"/>
      <x:c r="I51"/>
      <x:c r="J51"/>
      <x:c r="K51"/>
      <x:c r="L51" s="137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  <x:c r="AA51"/>
      <x:c r="AB51"/>
      <x:c r="AC51"/>
      <x:c r="AD51"/>
      <x:c r="AE51"/>
      <x:c r="AF51"/>
      <x:c r="AG51"/>
      <x:c r="AH51"/>
    </x:row>
    <x:row r="52" ht="38" customHeight="1">
      <x:c r="A52"/>
      <x:c r="B52"/>
      <x:c r="C52"/>
      <x:c r="D52"/>
      <x:c r="E52"/>
      <x:c r="F52"/>
      <x:c r="G52"/>
      <x:c r="H52"/>
      <x:c r="I52"/>
      <x:c r="J52"/>
      <x:c r="K52"/>
      <x:c r="L52" s="137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  <x:c r="AA52"/>
      <x:c r="AB52"/>
      <x:c r="AC52"/>
      <x:c r="AD52"/>
      <x:c r="AE52"/>
      <x:c r="AF52"/>
      <x:c r="AG52"/>
      <x:c r="AH52"/>
    </x:row>
    <x:row r="53" ht="38" customHeight="1">
      <x:c r="A53"/>
      <x:c r="B53"/>
      <x:c r="C53"/>
      <x:c r="D53"/>
      <x:c r="E53"/>
      <x:c r="F53"/>
      <x:c r="G53"/>
      <x:c r="H53"/>
      <x:c r="I53"/>
      <x:c r="J53"/>
      <x:c r="K53"/>
      <x:c r="L53" s="137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  <x:c r="AA53"/>
      <x:c r="AB53"/>
      <x:c r="AC53"/>
      <x:c r="AD53"/>
      <x:c r="AE53"/>
      <x:c r="AF53"/>
      <x:c r="AG53"/>
      <x:c r="AH53"/>
    </x:row>
    <x:row r="54" ht="38" customHeight="1">
      <x:c r="A54"/>
      <x:c r="B54"/>
      <x:c r="C54"/>
      <x:c r="D54"/>
      <x:c r="E54"/>
      <x:c r="F54"/>
      <x:c r="G54"/>
      <x:c r="H54"/>
      <x:c r="I54"/>
      <x:c r="J54"/>
      <x:c r="K54"/>
      <x:c r="L54" s="137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  <x:c r="AA54"/>
      <x:c r="AB54"/>
      <x:c r="AC54"/>
      <x:c r="AD54"/>
      <x:c r="AE54"/>
      <x:c r="AF54"/>
      <x:c r="AG54"/>
      <x:c r="AH54"/>
    </x:row>
    <x:row r="55" ht="38" customHeight="1">
      <x:c r="A55"/>
      <x:c r="B55"/>
      <x:c r="C55"/>
      <x:c r="D55"/>
      <x:c r="E55"/>
      <x:c r="F55"/>
      <x:c r="G55"/>
      <x:c r="H55"/>
      <x:c r="I55"/>
      <x:c r="J55"/>
      <x:c r="K55"/>
      <x:c r="L55" s="137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  <x:c r="AA55"/>
      <x:c r="AB55"/>
      <x:c r="AC55"/>
      <x:c r="AD55"/>
      <x:c r="AE55"/>
      <x:c r="AF55"/>
      <x:c r="AG55"/>
      <x:c r="AH55"/>
    </x:row>
    <x:row r="56" ht="38" customHeight="1">
      <x:c r="A56"/>
      <x:c r="B56"/>
      <x:c r="C56"/>
      <x:c r="D56"/>
      <x:c r="E56"/>
      <x:c r="F56"/>
      <x:c r="G56"/>
      <x:c r="H56"/>
      <x:c r="I56"/>
      <x:c r="J56"/>
      <x:c r="K56"/>
      <x:c r="L56" s="137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  <x:c r="AA56"/>
      <x:c r="AB56"/>
      <x:c r="AC56"/>
      <x:c r="AD56"/>
      <x:c r="AE56"/>
      <x:c r="AF56"/>
      <x:c r="AG56"/>
      <x:c r="AH56"/>
    </x:row>
    <x:row r="57" ht="38" customHeight="1">
      <x:c r="A57"/>
      <x:c r="B57"/>
      <x:c r="C57"/>
      <x:c r="D57"/>
      <x:c r="E57"/>
      <x:c r="F57"/>
      <x:c r="G57"/>
      <x:c r="H57"/>
      <x:c r="I57"/>
      <x:c r="J57"/>
      <x:c r="K57"/>
      <x:c r="L57" s="13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  <x:c r="AA57"/>
      <x:c r="AB57"/>
      <x:c r="AC57"/>
      <x:c r="AD57"/>
      <x:c r="AE57"/>
      <x:c r="AF57"/>
      <x:c r="AG57"/>
      <x:c r="AH57"/>
    </x:row>
    <x:row r="58" ht="38" customHeight="1">
      <x:c r="A58"/>
      <x:c r="B58"/>
      <x:c r="C58"/>
      <x:c r="D58"/>
      <x:c r="E58"/>
      <x:c r="F58"/>
      <x:c r="G58"/>
      <x:c r="H58"/>
      <x:c r="I58"/>
      <x:c r="J58"/>
      <x:c r="K58"/>
      <x:c r="L58" s="137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  <x:c r="AA58"/>
      <x:c r="AB58"/>
      <x:c r="AC58"/>
      <x:c r="AD58"/>
      <x:c r="AE58"/>
      <x:c r="AF58"/>
      <x:c r="AG58"/>
      <x:c r="AH58"/>
    </x:row>
    <x:row r="59" ht="38" customHeight="1">
      <x:c r="A59"/>
      <x:c r="B59"/>
      <x:c r="C59"/>
      <x:c r="D59"/>
      <x:c r="E59"/>
      <x:c r="F59"/>
      <x:c r="G59"/>
      <x:c r="H59"/>
      <x:c r="I59"/>
      <x:c r="J59"/>
      <x:c r="K59"/>
      <x:c r="L59" s="137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  <x:c r="AA59"/>
      <x:c r="AB59"/>
      <x:c r="AC59"/>
      <x:c r="AD59"/>
      <x:c r="AE59"/>
      <x:c r="AF59"/>
      <x:c r="AG59"/>
      <x:c r="AH59"/>
    </x:row>
    <x:row r="60" ht="38" customHeight="1">
      <x:c r="A60"/>
      <x:c r="B60"/>
      <x:c r="C60"/>
      <x:c r="D60"/>
      <x:c r="E60"/>
      <x:c r="F60"/>
      <x:c r="G60"/>
      <x:c r="H60"/>
      <x:c r="I60"/>
      <x:c r="J60"/>
      <x:c r="K60"/>
      <x:c r="L60" s="137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  <x:c r="AA60"/>
      <x:c r="AB60"/>
      <x:c r="AC60"/>
      <x:c r="AD60"/>
      <x:c r="AE60"/>
      <x:c r="AF60"/>
      <x:c r="AG60"/>
      <x:c r="AH60"/>
    </x:row>
    <x:row r="61" ht="38" customHeight="1">
      <x:c r="A61"/>
      <x:c r="B61"/>
      <x:c r="C61"/>
      <x:c r="D61"/>
      <x:c r="E61"/>
      <x:c r="F61"/>
      <x:c r="G61"/>
      <x:c r="H61"/>
      <x:c r="I61"/>
      <x:c r="J61"/>
      <x:c r="K61"/>
      <x:c r="L61" s="137"/>
      <x:c r="M61"/>
      <x:c r="N61"/>
      <x:c r="O61"/>
      <x:c r="P61"/>
      <x:c r="Q61"/>
      <x:c r="R61"/>
      <x:c r="S61"/>
      <x:c r="T61"/>
      <x:c r="U61"/>
      <x:c r="V61"/>
      <x:c r="W61"/>
      <x:c r="X61"/>
      <x:c r="Y61"/>
      <x:c r="Z61"/>
      <x:c r="AA61"/>
      <x:c r="AB61"/>
      <x:c r="AC61"/>
      <x:c r="AD61"/>
      <x:c r="AE61"/>
      <x:c r="AF61"/>
      <x:c r="AG61"/>
      <x:c r="AH61"/>
    </x:row>
    <x:row r="62" ht="38" customHeight="1">
      <x:c r="A62"/>
      <x:c r="B62"/>
      <x:c r="C62"/>
      <x:c r="D62"/>
      <x:c r="E62"/>
      <x:c r="F62"/>
      <x:c r="G62"/>
      <x:c r="H62"/>
      <x:c r="I62"/>
      <x:c r="J62"/>
      <x:c r="K62"/>
      <x:c r="L62" s="137"/>
      <x:c r="M62"/>
      <x:c r="N62"/>
      <x:c r="O62"/>
      <x:c r="P62"/>
      <x:c r="Q62"/>
      <x:c r="R62"/>
      <x:c r="S62"/>
      <x:c r="T62"/>
      <x:c r="U62"/>
      <x:c r="V62"/>
      <x:c r="W62"/>
      <x:c r="X62"/>
      <x:c r="Y62"/>
      <x:c r="Z62"/>
      <x:c r="AA62"/>
      <x:c r="AB62"/>
      <x:c r="AC62"/>
      <x:c r="AD62"/>
      <x:c r="AE62"/>
      <x:c r="AF62"/>
      <x:c r="AG62"/>
      <x:c r="AH62"/>
    </x:row>
    <x:row r="63" ht="38" customHeight="1">
      <x:c r="A63"/>
      <x:c r="B63"/>
      <x:c r="C63"/>
      <x:c r="D63"/>
      <x:c r="E63"/>
      <x:c r="F63"/>
      <x:c r="G63"/>
      <x:c r="H63"/>
      <x:c r="I63"/>
      <x:c r="J63"/>
      <x:c r="K63"/>
      <x:c r="L63" s="137"/>
      <x:c r="M63"/>
      <x:c r="N63"/>
      <x:c r="O63"/>
      <x:c r="P63"/>
      <x:c r="Q63"/>
      <x:c r="R63"/>
      <x:c r="S63"/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</x:row>
    <x:row r="64" ht="38" customHeight="1">
      <x:c r="A64"/>
      <x:c r="B64"/>
      <x:c r="C64"/>
      <x:c r="D64"/>
      <x:c r="E64"/>
      <x:c r="F64"/>
      <x:c r="G64"/>
      <x:c r="H64"/>
      <x:c r="I64"/>
      <x:c r="J64"/>
      <x:c r="K64"/>
      <x:c r="L64" s="137"/>
      <x:c r="M64"/>
      <x:c r="N64"/>
      <x:c r="O64"/>
      <x:c r="P64"/>
      <x:c r="Q64"/>
      <x:c r="R64"/>
      <x:c r="S64"/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</x:row>
    <x:row r="65" ht="38" customHeight="1">
      <x:c r="A65"/>
      <x:c r="B65"/>
      <x:c r="C65"/>
      <x:c r="D65"/>
      <x:c r="E65"/>
      <x:c r="F65"/>
      <x:c r="G65"/>
      <x:c r="H65"/>
      <x:c r="I65"/>
      <x:c r="J65"/>
      <x:c r="K65"/>
      <x:c r="L65" s="137"/>
      <x:c r="M65"/>
      <x:c r="N65"/>
      <x:c r="O65"/>
      <x:c r="P65"/>
      <x:c r="Q65"/>
      <x:c r="R65"/>
      <x:c r="S65"/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</x:row>
    <x:row r="66" ht="38" customHeight="1">
      <x:c r="A66"/>
      <x:c r="B66"/>
      <x:c r="C66"/>
      <x:c r="D66"/>
      <x:c r="E66"/>
      <x:c r="F66"/>
      <x:c r="G66"/>
      <x:c r="H66"/>
      <x:c r="I66"/>
      <x:c r="J66"/>
      <x:c r="K66"/>
      <x:c r="L66" s="137"/>
      <x:c r="M66"/>
      <x:c r="N66"/>
      <x:c r="O66"/>
      <x:c r="P66"/>
      <x:c r="Q66"/>
      <x:c r="R66"/>
      <x:c r="S66"/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</x:row>
    <x:row r="67" ht="38" customHeight="1">
      <x:c r="A67"/>
      <x:c r="B67"/>
      <x:c r="C67"/>
      <x:c r="D67"/>
      <x:c r="E67"/>
      <x:c r="F67"/>
      <x:c r="G67"/>
      <x:c r="H67"/>
      <x:c r="I67"/>
      <x:c r="J67"/>
      <x:c r="K67"/>
      <x:c r="L67" s="137"/>
      <x:c r="M67"/>
      <x:c r="N67"/>
      <x:c r="O67"/>
      <x:c r="P67"/>
      <x:c r="Q67"/>
      <x:c r="R67"/>
      <x:c r="S67"/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</x:row>
    <x:row r="68" ht="38" customHeight="1">
      <x:c r="A68"/>
      <x:c r="B68"/>
      <x:c r="C68"/>
      <x:c r="D68"/>
      <x:c r="E68"/>
      <x:c r="F68"/>
      <x:c r="G68"/>
      <x:c r="H68"/>
      <x:c r="I68"/>
      <x:c r="J68"/>
      <x:c r="K68"/>
      <x:c r="L68" s="137"/>
      <x:c r="M68"/>
      <x:c r="N68"/>
      <x:c r="O68"/>
      <x:c r="P68"/>
      <x:c r="Q68"/>
      <x:c r="R68"/>
      <x:c r="S68"/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</x:row>
    <x:row r="69" ht="38" customHeight="1">
      <x:c r="A69"/>
      <x:c r="B69"/>
      <x:c r="C69"/>
      <x:c r="D69"/>
      <x:c r="E69"/>
      <x:c r="F69"/>
      <x:c r="G69"/>
      <x:c r="H69"/>
      <x:c r="I69"/>
      <x:c r="J69"/>
      <x:c r="K69"/>
      <x:c r="L69" s="137"/>
      <x:c r="M69"/>
      <x:c r="N69"/>
      <x:c r="O69"/>
      <x:c r="P69"/>
      <x:c r="Q69"/>
      <x:c r="R69"/>
      <x:c r="S69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</x:row>
    <x:row r="70" ht="38" customHeight="1">
      <x:c r="A70"/>
      <x:c r="B70"/>
      <x:c r="C70"/>
      <x:c r="D70"/>
      <x:c r="E70"/>
      <x:c r="F70"/>
      <x:c r="G70"/>
      <x:c r="H70"/>
      <x:c r="I70"/>
      <x:c r="J70"/>
      <x:c r="K70"/>
      <x:c r="L70" s="137"/>
      <x:c r="M70"/>
      <x:c r="N70"/>
      <x:c r="O70"/>
      <x:c r="P70"/>
      <x:c r="Q70"/>
      <x:c r="R70"/>
      <x:c r="S70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</x:row>
    <x:row r="71" ht="38" customHeight="1">
      <x:c r="A71"/>
      <x:c r="B71"/>
      <x:c r="C71"/>
      <x:c r="D71"/>
      <x:c r="E71"/>
      <x:c r="F71"/>
      <x:c r="G71"/>
      <x:c r="H71"/>
      <x:c r="I71"/>
      <x:c r="J71"/>
      <x:c r="K71"/>
      <x:c r="L71" s="137"/>
      <x:c r="M71"/>
      <x:c r="N71"/>
      <x:c r="O71"/>
      <x:c r="P71"/>
      <x:c r="Q71"/>
      <x:c r="R71"/>
      <x:c r="S71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</x:row>
    <x:row r="72" ht="38" customHeight="1">
      <x:c r="A72"/>
      <x:c r="B72"/>
      <x:c r="C72"/>
      <x:c r="D72"/>
      <x:c r="E72"/>
      <x:c r="F72"/>
      <x:c r="G72"/>
      <x:c r="H72"/>
      <x:c r="I72"/>
      <x:c r="J72"/>
      <x:c r="K72"/>
      <x:c r="L72" s="137"/>
      <x:c r="M72"/>
      <x:c r="N72"/>
      <x:c r="O72"/>
      <x:c r="P72"/>
      <x:c r="Q72"/>
      <x:c r="R72"/>
      <x:c r="S72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</x:row>
    <x:row r="73" ht="38" customHeight="1">
      <x:c r="A73"/>
      <x:c r="B73"/>
      <x:c r="C73"/>
      <x:c r="D73"/>
      <x:c r="E73"/>
      <x:c r="F73"/>
      <x:c r="G73"/>
      <x:c r="H73"/>
      <x:c r="I73"/>
      <x:c r="J73"/>
      <x:c r="K73"/>
      <x:c r="L73" s="137"/>
      <x:c r="M73"/>
      <x:c r="N73"/>
      <x:c r="O73"/>
      <x:c r="P73"/>
      <x:c r="Q73"/>
      <x:c r="R73"/>
      <x:c r="S7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</x:row>
    <x:row r="74" ht="38" customHeight="1">
      <x:c r="A74"/>
      <x:c r="B74"/>
      <x:c r="C74"/>
      <x:c r="D74"/>
      <x:c r="E74"/>
      <x:c r="F74"/>
      <x:c r="G74"/>
      <x:c r="H74"/>
      <x:c r="I74"/>
      <x:c r="J74"/>
      <x:c r="K74"/>
      <x:c r="L74" s="137"/>
      <x:c r="M74"/>
      <x:c r="N74"/>
      <x:c r="O74"/>
      <x:c r="P74"/>
      <x:c r="Q74"/>
      <x:c r="R74"/>
      <x:c r="S74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</x:row>
    <x:row r="75" ht="38" customHeight="1">
      <x:c r="A75"/>
      <x:c r="B75"/>
      <x:c r="C75"/>
      <x:c r="D75"/>
      <x:c r="E75"/>
      <x:c r="F75"/>
      <x:c r="G75"/>
      <x:c r="H75"/>
      <x:c r="I75"/>
      <x:c r="J75"/>
      <x:c r="K75"/>
      <x:c r="L75" s="137"/>
      <x:c r="M75"/>
      <x:c r="N75"/>
      <x:c r="O75"/>
      <x:c r="P75"/>
      <x:c r="Q75"/>
      <x:c r="R75"/>
      <x:c r="S75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</x:row>
    <x:row r="76" ht="38" customHeight="1">
      <x:c r="A76"/>
      <x:c r="B76"/>
      <x:c r="C76"/>
      <x:c r="D76"/>
      <x:c r="E76"/>
      <x:c r="F76"/>
      <x:c r="G76"/>
      <x:c r="H76"/>
      <x:c r="I76"/>
      <x:c r="J76"/>
      <x:c r="K76"/>
      <x:c r="L76" s="137"/>
      <x:c r="M76"/>
      <x:c r="N76"/>
      <x:c r="O76"/>
      <x:c r="P76"/>
      <x:c r="Q76"/>
      <x:c r="R76"/>
      <x:c r="S76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</x:row>
    <x:row r="77" ht="38" customHeight="1">
      <x:c r="A77"/>
      <x:c r="B77"/>
      <x:c r="C77"/>
      <x:c r="D77"/>
      <x:c r="E77"/>
      <x:c r="F77"/>
      <x:c r="G77"/>
      <x:c r="H77"/>
      <x:c r="I77"/>
      <x:c r="J77"/>
      <x:c r="K77"/>
      <x:c r="L77" s="137"/>
      <x:c r="M77"/>
      <x:c r="N77"/>
      <x:c r="O77"/>
      <x:c r="P77"/>
      <x:c r="Q77"/>
      <x:c r="R77"/>
      <x:c r="S77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</x:row>
    <x:row r="78" ht="38" customHeight="1">
      <x:c r="A78"/>
      <x:c r="B78"/>
      <x:c r="C78"/>
      <x:c r="D78"/>
      <x:c r="E78"/>
      <x:c r="F78"/>
      <x:c r="G78"/>
      <x:c r="H78"/>
      <x:c r="I78"/>
      <x:c r="J78"/>
      <x:c r="K78"/>
      <x:c r="L78" s="137"/>
      <x:c r="M78"/>
      <x:c r="N78"/>
      <x:c r="O78"/>
      <x:c r="P78"/>
      <x:c r="Q78"/>
      <x:c r="R78"/>
      <x:c r="S78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</x:row>
    <x:row r="79" ht="38" customHeight="1">
      <x:c r="A79"/>
      <x:c r="B79"/>
      <x:c r="C79"/>
      <x:c r="D79"/>
      <x:c r="E79"/>
      <x:c r="F79"/>
      <x:c r="G79"/>
      <x:c r="H79"/>
      <x:c r="I79"/>
      <x:c r="J79"/>
      <x:c r="K79"/>
      <x:c r="L79" s="137"/>
      <x:c r="M79"/>
      <x:c r="N79"/>
      <x:c r="O79"/>
      <x:c r="P79"/>
      <x:c r="Q79"/>
      <x:c r="R79"/>
      <x:c r="S79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</x:row>
    <x:row r="80" ht="38" customHeight="1">
      <x:c r="A80"/>
      <x:c r="B80"/>
      <x:c r="C80"/>
      <x:c r="D80"/>
      <x:c r="E80"/>
      <x:c r="F80"/>
      <x:c r="G80"/>
      <x:c r="H80"/>
      <x:c r="I80"/>
      <x:c r="J80"/>
      <x:c r="K80"/>
      <x:c r="L80" s="137"/>
      <x:c r="M80"/>
      <x:c r="N80"/>
      <x:c r="O80"/>
      <x:c r="P80"/>
      <x:c r="Q80"/>
      <x:c r="R80"/>
      <x:c r="S80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</x:row>
    <x:row r="81" ht="38" customHeight="1">
      <x:c r="A81"/>
      <x:c r="B81"/>
      <x:c r="C81"/>
      <x:c r="D81"/>
      <x:c r="E81"/>
      <x:c r="F81"/>
      <x:c r="G81"/>
      <x:c r="H81"/>
      <x:c r="I81"/>
      <x:c r="J81"/>
      <x:c r="K81"/>
      <x:c r="L81" s="137"/>
      <x:c r="M81"/>
      <x:c r="N81"/>
      <x:c r="O81"/>
      <x:c r="P81"/>
      <x:c r="Q81"/>
      <x:c r="R81"/>
      <x:c r="S81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</x:row>
    <x:row r="82" ht="38" customHeight="1">
      <x:c r="A82"/>
      <x:c r="B82"/>
      <x:c r="C82"/>
      <x:c r="D82"/>
      <x:c r="E82"/>
      <x:c r="F82"/>
      <x:c r="G82"/>
      <x:c r="H82"/>
      <x:c r="I82"/>
      <x:c r="J82"/>
      <x:c r="K82"/>
      <x:c r="L82" s="137"/>
      <x:c r="M82"/>
      <x:c r="N82"/>
      <x:c r="O82"/>
      <x:c r="P82"/>
      <x:c r="Q82"/>
      <x:c r="R82"/>
      <x:c r="S82"/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/>
      <x:c r="AH82"/>
    </x:row>
    <x:row r="83" ht="38" customHeight="1">
      <x:c r="A83"/>
      <x:c r="B83"/>
      <x:c r="C83"/>
      <x:c r="D83"/>
      <x:c r="E83"/>
      <x:c r="F83"/>
      <x:c r="G83"/>
      <x:c r="H83"/>
      <x:c r="I83"/>
      <x:c r="J83"/>
      <x:c r="K83"/>
      <x:c r="L83" s="137"/>
      <x:c r="M83"/>
      <x:c r="N83"/>
      <x:c r="O83"/>
      <x:c r="P83"/>
      <x:c r="Q83"/>
      <x:c r="R83"/>
      <x:c r="S83"/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/>
      <x:c r="AH83"/>
    </x:row>
    <x:row r="84" ht="38" customHeight="1">
      <x:c r="A84"/>
      <x:c r="B84"/>
      <x:c r="C84"/>
      <x:c r="D84"/>
      <x:c r="E84"/>
      <x:c r="F84"/>
      <x:c r="G84"/>
      <x:c r="H84"/>
      <x:c r="I84"/>
      <x:c r="J84"/>
      <x:c r="K84"/>
      <x:c r="L84" s="137"/>
      <x:c r="M84"/>
      <x:c r="N84"/>
      <x:c r="O84"/>
      <x:c r="P84"/>
      <x:c r="Q84"/>
      <x:c r="R84"/>
      <x:c r="S84"/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/>
      <x:c r="AH84"/>
    </x:row>
    <x:row r="85" ht="38" customHeight="1">
      <x:c r="A85"/>
      <x:c r="B85"/>
      <x:c r="C85"/>
      <x:c r="D85"/>
      <x:c r="E85"/>
      <x:c r="F85"/>
      <x:c r="G85"/>
      <x:c r="H85"/>
      <x:c r="I85"/>
      <x:c r="J85"/>
      <x:c r="K85"/>
      <x:c r="L85" s="137"/>
      <x:c r="M85"/>
      <x:c r="N85"/>
      <x:c r="O85"/>
      <x:c r="P85"/>
      <x:c r="Q85"/>
      <x:c r="R85"/>
      <x:c r="S85"/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/>
      <x:c r="AH85"/>
    </x:row>
    <x:row r="86" ht="38" customHeight="1">
      <x:c r="A86"/>
      <x:c r="B86"/>
      <x:c r="C86"/>
      <x:c r="D86"/>
      <x:c r="E86"/>
      <x:c r="F86"/>
      <x:c r="G86"/>
      <x:c r="H86"/>
      <x:c r="I86"/>
      <x:c r="J86"/>
      <x:c r="K86"/>
      <x:c r="L86" s="137"/>
      <x:c r="M86"/>
      <x:c r="N86"/>
      <x:c r="O86"/>
      <x:c r="P86"/>
      <x:c r="Q86"/>
      <x:c r="R86"/>
      <x:c r="S86"/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/>
      <x:c r="AH86"/>
    </x:row>
    <x:row r="87" ht="38" customHeight="1">
      <x:c r="A87"/>
      <x:c r="B87"/>
      <x:c r="C87"/>
      <x:c r="D87"/>
      <x:c r="E87"/>
      <x:c r="F87"/>
      <x:c r="G87"/>
      <x:c r="H87"/>
      <x:c r="I87"/>
      <x:c r="J87"/>
      <x:c r="K87"/>
      <x:c r="L87" s="137"/>
      <x:c r="M87"/>
      <x:c r="N87"/>
      <x:c r="O87"/>
      <x:c r="P87"/>
      <x:c r="Q87"/>
      <x:c r="R87"/>
      <x:c r="S87"/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/>
      <x:c r="AH87"/>
    </x:row>
    <x:row r="88" ht="38" customHeight="1">
      <x:c r="A88"/>
      <x:c r="B88"/>
      <x:c r="C88"/>
      <x:c r="D88"/>
      <x:c r="E88"/>
      <x:c r="F88"/>
      <x:c r="G88"/>
      <x:c r="H88"/>
      <x:c r="I88"/>
      <x:c r="J88"/>
      <x:c r="K88"/>
      <x:c r="L88" s="137"/>
      <x:c r="M88"/>
      <x:c r="N88"/>
      <x:c r="O88"/>
      <x:c r="P88"/>
      <x:c r="Q88"/>
      <x:c r="R88"/>
      <x:c r="S88"/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  <x:c r="AH88"/>
    </x:row>
    <x:row r="89" ht="38" customHeight="1">
      <x:c r="A89"/>
      <x:c r="B89"/>
      <x:c r="C89"/>
      <x:c r="D89"/>
      <x:c r="E89"/>
      <x:c r="F89"/>
      <x:c r="G89"/>
      <x:c r="H89"/>
      <x:c r="I89"/>
      <x:c r="J89"/>
      <x:c r="K89"/>
      <x:c r="L89" s="137"/>
      <x:c r="M89"/>
      <x:c r="N89"/>
      <x:c r="O89"/>
      <x:c r="P89"/>
      <x:c r="Q89"/>
      <x:c r="R89"/>
      <x:c r="S89"/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/>
      <x:c r="AH89"/>
    </x:row>
    <x:row r="90" ht="38" customHeight="1">
      <x:c r="A90"/>
      <x:c r="B90"/>
      <x:c r="C90"/>
      <x:c r="D90"/>
      <x:c r="E90"/>
      <x:c r="F90"/>
      <x:c r="G90"/>
      <x:c r="H90"/>
      <x:c r="I90"/>
      <x:c r="J90"/>
      <x:c r="K90"/>
      <x:c r="L90" s="137"/>
      <x:c r="M90"/>
      <x:c r="N90"/>
      <x:c r="O90"/>
      <x:c r="P90"/>
      <x:c r="Q90"/>
      <x:c r="R90"/>
      <x:c r="S90"/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/>
      <x:c r="AH90"/>
    </x:row>
    <x:row r="91" ht="38" customHeight="1">
      <x:c r="A91"/>
      <x:c r="B91"/>
      <x:c r="C91"/>
      <x:c r="D91"/>
      <x:c r="E91"/>
      <x:c r="F91"/>
      <x:c r="G91"/>
      <x:c r="H91"/>
      <x:c r="I91"/>
      <x:c r="J91"/>
      <x:c r="K91"/>
      <x:c r="L91" s="137"/>
      <x:c r="M91"/>
      <x:c r="N91"/>
      <x:c r="O91"/>
      <x:c r="P91"/>
      <x:c r="Q91"/>
      <x:c r="R91"/>
      <x:c r="S91"/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/>
      <x:c r="AH91"/>
    </x:row>
    <x:row r="92" ht="38" customHeight="1">
      <x:c r="A92"/>
      <x:c r="B92"/>
      <x:c r="C92"/>
      <x:c r="D92"/>
      <x:c r="E92"/>
      <x:c r="F92"/>
      <x:c r="G92"/>
      <x:c r="H92"/>
      <x:c r="I92"/>
      <x:c r="J92"/>
      <x:c r="K92"/>
      <x:c r="L92" s="137"/>
      <x:c r="M92"/>
      <x:c r="N92"/>
      <x:c r="O92"/>
      <x:c r="P92"/>
      <x:c r="Q92"/>
      <x:c r="R92"/>
      <x:c r="S92"/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/>
      <x:c r="AH92"/>
    </x:row>
    <x:row r="93" ht="38" customHeight="1">
      <x:c r="A93"/>
      <x:c r="B93"/>
      <x:c r="C93"/>
      <x:c r="D93"/>
      <x:c r="E93"/>
      <x:c r="F93"/>
      <x:c r="G93"/>
      <x:c r="H93"/>
      <x:c r="I93"/>
      <x:c r="J93"/>
      <x:c r="K93"/>
      <x:c r="L93" s="137"/>
      <x:c r="M93"/>
      <x:c r="N93"/>
      <x:c r="O93"/>
      <x:c r="P93"/>
      <x:c r="Q93"/>
      <x:c r="R93"/>
      <x:c r="S93"/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/>
      <x:c r="AH93"/>
    </x:row>
    <x:row r="94" ht="38" customHeight="1">
      <x:c r="A94"/>
      <x:c r="B94"/>
      <x:c r="C94"/>
      <x:c r="D94"/>
      <x:c r="E94"/>
      <x:c r="F94"/>
      <x:c r="G94"/>
      <x:c r="H94"/>
      <x:c r="I94"/>
      <x:c r="J94"/>
      <x:c r="K94"/>
      <x:c r="L94" s="137"/>
      <x:c r="M94"/>
      <x:c r="N94"/>
      <x:c r="O94"/>
      <x:c r="P94"/>
      <x:c r="Q94"/>
      <x:c r="R94"/>
      <x:c r="S94"/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/>
      <x:c r="AH94"/>
    </x:row>
    <x:row r="95" ht="38" customHeight="1">
      <x:c r="A95"/>
      <x:c r="B95"/>
      <x:c r="C95"/>
      <x:c r="D95"/>
      <x:c r="E95"/>
      <x:c r="F95"/>
      <x:c r="G95"/>
      <x:c r="H95"/>
      <x:c r="I95"/>
      <x:c r="J95"/>
      <x:c r="K95"/>
      <x:c r="L95" s="137"/>
      <x:c r="M95"/>
      <x:c r="N95"/>
      <x:c r="O95"/>
      <x:c r="P95"/>
      <x:c r="Q95"/>
      <x:c r="R95"/>
      <x:c r="S95"/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/>
      <x:c r="AH95"/>
    </x:row>
    <x:row r="96" ht="38" customHeight="1">
      <x:c r="A96"/>
      <x:c r="B96"/>
      <x:c r="C96"/>
      <x:c r="D96"/>
      <x:c r="E96"/>
      <x:c r="F96"/>
      <x:c r="G96"/>
      <x:c r="H96"/>
      <x:c r="I96"/>
      <x:c r="J96"/>
      <x:c r="K96"/>
      <x:c r="L96" s="137"/>
      <x:c r="M96"/>
      <x:c r="N96"/>
      <x:c r="O96"/>
      <x:c r="P96"/>
      <x:c r="Q96"/>
      <x:c r="R96"/>
      <x:c r="S96"/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/>
      <x:c r="AH96"/>
    </x:row>
    <x:row r="97" ht="38" customHeight="1">
      <x:c r="A97"/>
      <x:c r="B97"/>
      <x:c r="C97"/>
      <x:c r="D97"/>
      <x:c r="E97"/>
      <x:c r="F97"/>
      <x:c r="G97"/>
      <x:c r="H97"/>
      <x:c r="I97"/>
      <x:c r="J97"/>
      <x:c r="K97"/>
      <x:c r="L97" s="137"/>
      <x:c r="M97"/>
      <x:c r="N97"/>
      <x:c r="O97"/>
      <x:c r="P97"/>
      <x:c r="Q97"/>
      <x:c r="R97"/>
      <x:c r="S97"/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/>
      <x:c r="AH97"/>
    </x:row>
    <x:row r="98" ht="38" customHeight="1">
      <x:c r="A98"/>
      <x:c r="B98"/>
      <x:c r="C98"/>
      <x:c r="D98"/>
      <x:c r="E98"/>
      <x:c r="F98"/>
      <x:c r="G98"/>
      <x:c r="H98"/>
      <x:c r="I98"/>
      <x:c r="J98"/>
      <x:c r="K98"/>
      <x:c r="L98" s="137"/>
      <x:c r="M98"/>
      <x:c r="N98"/>
      <x:c r="O98"/>
      <x:c r="P98"/>
      <x:c r="Q98"/>
      <x:c r="R98"/>
      <x:c r="S98"/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  <x:c r="AH98"/>
    </x:row>
    <x:row r="99" ht="38" customHeight="1">
      <x:c r="A99"/>
      <x:c r="B99"/>
      <x:c r="C99"/>
      <x:c r="D99"/>
      <x:c r="E99"/>
      <x:c r="F99"/>
      <x:c r="G99"/>
      <x:c r="H99"/>
      <x:c r="I99"/>
      <x:c r="J99"/>
      <x:c r="K99"/>
      <x:c r="L99" s="137"/>
      <x:c r="M99"/>
      <x:c r="N99"/>
      <x:c r="O99"/>
      <x:c r="P99"/>
      <x:c r="Q99"/>
      <x:c r="R99"/>
      <x:c r="S99"/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  <x:c r="AH99"/>
    </x:row>
    <x:row r="100" ht="38" customHeight="1">
      <x:c r="A100"/>
      <x:c r="B100"/>
      <x:c r="C100"/>
      <x:c r="D100"/>
      <x:c r="E100"/>
      <x:c r="F100"/>
      <x:c r="G100"/>
      <x:c r="H100"/>
      <x:c r="I100"/>
      <x:c r="J100"/>
      <x:c r="K100"/>
      <x:c r="L100" s="137"/>
      <x:c r="M100"/>
      <x:c r="N100"/>
      <x:c r="O100"/>
      <x:c r="P100"/>
      <x:c r="Q100"/>
      <x:c r="R100"/>
      <x:c r="S100"/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/>
      <x:c r="AH100"/>
    </x:row>
    <x:row r="101" ht="38" customHeight="1">
      <x:c r="A101"/>
      <x:c r="B101"/>
      <x:c r="C101"/>
      <x:c r="D101"/>
      <x:c r="E101"/>
      <x:c r="F101"/>
      <x:c r="G101"/>
      <x:c r="H101"/>
      <x:c r="I101"/>
      <x:c r="J101"/>
      <x:c r="K101"/>
      <x:c r="L101" s="137"/>
      <x:c r="M101"/>
      <x:c r="N101"/>
      <x:c r="O101"/>
      <x:c r="P101"/>
      <x:c r="Q101"/>
      <x:c r="R101"/>
      <x:c r="S101"/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  <x:c r="AH101"/>
    </x:row>
    <x:row r="102" ht="38" customHeight="1">
      <x:c r="A102"/>
      <x:c r="B102"/>
      <x:c r="C102"/>
      <x:c r="D102"/>
      <x:c r="E102"/>
      <x:c r="F102"/>
      <x:c r="G102"/>
      <x:c r="H102"/>
      <x:c r="I102"/>
      <x:c r="J102"/>
      <x:c r="K102"/>
      <x:c r="L102" s="137"/>
      <x:c r="M102"/>
      <x:c r="N102"/>
      <x:c r="O102"/>
      <x:c r="P102"/>
      <x:c r="Q102"/>
      <x:c r="R102"/>
      <x:c r="S102"/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/>
      <x:c r="AH102"/>
    </x:row>
    <x:row r="103" ht="38" customHeight="1">
      <x:c r="A103"/>
      <x:c r="B103"/>
      <x:c r="C103"/>
      <x:c r="D103"/>
      <x:c r="E103"/>
      <x:c r="F103"/>
      <x:c r="G103"/>
      <x:c r="H103"/>
      <x:c r="I103"/>
      <x:c r="J103"/>
      <x:c r="K103"/>
      <x:c r="L103" s="137"/>
      <x:c r="M103"/>
      <x:c r="N103"/>
      <x:c r="O103"/>
      <x:c r="P103"/>
      <x:c r="Q103"/>
      <x:c r="R103"/>
      <x:c r="S103"/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/>
      <x:c r="AH103"/>
    </x:row>
    <x:row r="104" ht="38" customHeight="1">
      <x:c r="A104"/>
      <x:c r="B104"/>
      <x:c r="C104"/>
      <x:c r="D104"/>
      <x:c r="E104"/>
      <x:c r="F104"/>
      <x:c r="G104"/>
      <x:c r="H104"/>
      <x:c r="I104"/>
      <x:c r="J104"/>
      <x:c r="K104"/>
      <x:c r="L104" s="137"/>
      <x:c r="M104"/>
      <x:c r="N104"/>
      <x:c r="O104"/>
      <x:c r="P104"/>
      <x:c r="Q104"/>
      <x:c r="R104"/>
      <x:c r="S104"/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/>
      <x:c r="AH104"/>
    </x:row>
  </x:sheetData>
  <x:mergeCells>
    <x:mergeCell ref="A1:AH1"/>
    <x:mergeCell ref="A2:AH2"/>
  </x:mergeCells>
  <x:conditionalFormatting sqref="J5:J24">
    <x:cfRule type="containsText" dxfId="3" priority="1" operator="containsText" text="approved"/>
    <x:cfRule type="containsText" dxfId="4" priority="2" operator="containsText" text="preferred"/>
    <x:cfRule type="containsText" dxfId="5" priority="3" operator="containsText" text="rejected"/>
  </x:conditionalFormatting>
  <x:dataValidations count="7">
    <x:dataValidation type="list" allowBlank="0" showDropDown="0" sqref="J5:J104">
      <x:formula1>"research_required,approved,preferred,rejected,discontinued"</x:formula1>
    </x:dataValidation>
    <x:dataValidation type="list" allowBlank="0" showDropDown="0" sqref="K5:K104">
      <x:formula1>"unrated,C,B,A,S"</x:formula1>
    </x:dataValidation>
    <x:dataValidation type="list" allowBlank="0" showDropDown="0" sqref="R5:R104">
      <x:formula1>'GPUChips'!$A$5:$A$500</x:formula1>
    </x:dataValidation>
    <x:dataValidation type="list" allowBlank="1" showDropDown="0" sqref="W5:X104">
      <x:formula1>"true,false"</x:formula1>
    </x:dataValidation>
    <x:dataValidation type="list" allowBlank="0" showDropDown="0" sqref="AA5:AA104">
      <x:formula1>'Lists'!$P$5:$P$8</x:formula1>
    </x:dataValidation>
    <x:dataValidation type="list" allowBlank="0" showDropDown="0" sqref="AE5:AE104">
      <x:formula1>'Lists'!$Q$5:$Q$9</x:formula1>
    </x:dataValidation>
    <x:dataValidation type="list" allowBlank="1" showDropDown="0" sqref="AD5:AD104">
      <x:formula1>'Lists'!$R$5:$R$13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024faa162fe430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2" hidden="0" customWidth="1"/>
    <x:col min="3" max="3" width="28" hidden="0" customWidth="1"/>
    <x:col min="4" max="4" width="32" hidden="0" customWidth="1"/>
    <x:col min="5" max="5" width="26" hidden="0" customWidth="1"/>
    <x:col min="6" max="6" width="18" hidden="0" customWidth="1"/>
    <x:col min="7" max="7" width="11" hidden="0" customWidth="1"/>
    <x:col min="8" max="8" width="13" hidden="0" customWidth="1"/>
    <x:col min="9" max="9" width="40" hidden="0" customWidth="1"/>
    <x:col min="10" max="10" width="24" hidden="0" customWidth="1"/>
    <x:col min="11" max="11" width="24" hidden="0" customWidth="1"/>
    <x:col min="12" max="12" width="34" hidden="0" customWidth="1"/>
    <x:col min="13" max="13" width="44" hidden="0" customWidth="1"/>
    <x:col min="14" max="14" width="18" hidden="0" customWidth="1"/>
    <x:col min="15" max="15" width="24" hidden="0" customWidth="1"/>
    <x:col min="16" max="16" width="13" hidden="0" customWidth="1"/>
    <x:col min="17" max="17" width="14" hidden="0" customWidth="1"/>
    <x:col min="18" max="18" width="18" hidden="0" customWidth="1"/>
    <x:col min="19" max="19" width="11" hidden="0" customWidth="1"/>
    <x:col min="20" max="20" width="13" hidden="0" customWidth="1"/>
    <x:col min="21" max="21" width="14" hidden="0" customWidth="1"/>
    <x:col min="22" max="22" width="18" hidden="0" customWidth="1"/>
    <x:col min="23" max="23" width="18" hidden="0" customWidth="1"/>
    <x:col min="24" max="24" width="18" hidden="0" customWidth="1"/>
    <x:col min="25" max="25" width="15" hidden="0" customWidth="1"/>
    <x:col min="26" max="26" width="20" hidden="0" customWidth="1"/>
    <x:col min="27" max="27" width="13" hidden="0" customWidth="1"/>
    <x:col min="28" max="28" width="17" hidden="0" customWidth="1"/>
    <x:col min="29" max="29" width="20" hidden="0" customWidth="1"/>
  </x:cols>
  <x:sheetData>
    <x:row r="1" ht="34" customHeight="1">
      <x:c r="A1" s="108" t="str">
        <x:v>GPUチップ 性能カタログ</x:v>
      </x:c>
      <x:c r="B1" s="108" t="str">
        <x:v>GPUチップ 性能カタログ</x:v>
      </x:c>
      <x:c r="C1" s="108" t="str">
        <x:v>GPUチップ 性能カタログ</x:v>
      </x:c>
      <x:c r="D1" s="108" t="str">
        <x:v>GPUチップ 性能カタログ</x:v>
      </x:c>
      <x:c r="E1" s="108" t="str">
        <x:v>GPUチップ 性能カタログ</x:v>
      </x:c>
      <x:c r="F1" s="108" t="str">
        <x:v>GPUチップ 性能カタログ</x:v>
      </x:c>
      <x:c r="G1" s="108" t="str">
        <x:v>GPUチップ 性能カタログ</x:v>
      </x:c>
      <x:c r="H1" s="108" t="str">
        <x:v>GPUチップ 性能カタログ</x:v>
      </x:c>
      <x:c r="I1" s="108" t="str">
        <x:v>GPUチップ 性能カタログ</x:v>
      </x:c>
      <x:c r="J1" s="108" t="str">
        <x:v>GPUチップ 性能カタログ</x:v>
      </x:c>
      <x:c r="K1" s="108" t="str">
        <x:v>GPUチップ 性能カタログ</x:v>
      </x:c>
      <x:c r="L1" s="108" t="str">
        <x:v>GPUチップ 性能カタログ</x:v>
      </x:c>
      <x:c r="M1" s="108" t="str">
        <x:v>GPUチップ 性能カタログ</x:v>
      </x:c>
      <x:c r="N1" s="108" t="str">
        <x:v>GPUチップ 性能カタログ</x:v>
      </x:c>
      <x:c r="O1" s="108" t="str">
        <x:v>GPUチップ 性能カタログ</x:v>
      </x:c>
      <x:c r="P1" s="108" t="str">
        <x:v>GPUチップ 性能カタログ</x:v>
      </x:c>
      <x:c r="Q1" s="108" t="str">
        <x:v>GPUチップ 性能カタログ</x:v>
      </x:c>
      <x:c r="R1" s="108" t="str">
        <x:v>GPUチップ 性能カタログ</x:v>
      </x:c>
      <x:c r="S1" s="108" t="str">
        <x:v>GPUチップ 性能カタログ</x:v>
      </x:c>
      <x:c r="T1" s="108" t="str">
        <x:v>GPUチップ 性能カタログ</x:v>
      </x:c>
      <x:c r="U1" s="108" t="str">
        <x:v>GPUチップ 性能カタログ</x:v>
      </x:c>
      <x:c r="V1" s="108" t="str">
        <x:v>GPUチップ 性能カタログ</x:v>
      </x:c>
      <x:c r="W1" s="108" t="str">
        <x:v>GPUチップ 性能カタログ</x:v>
      </x:c>
      <x:c r="X1" s="108" t="str">
        <x:v>GPUチップ 性能カタログ</x:v>
      </x:c>
      <x:c r="Y1" s="108" t="str">
        <x:v>GPUチップ 性能カタログ</x:v>
      </x:c>
      <x:c r="Z1" s="141" t="str">
        <x:v>GPU性能 比較ビュー（自動計算）</x:v>
      </x:c>
      <x:c r="AA1" s="141"/>
      <x:c r="AB1" s="141"/>
      <x:c r="AC1" s="141"/>
    </x:row>
    <x:row r="2" ht="32" customHeight="1">
      <x:c r="A2" s="111" t="str">
        <x:v>Radeon RX 6000以降とGeForce RTXシリーズのデスクトップ向け基準データです。PassMark生値に加え、右側の自動計算ビューで相対性能・順位・性能帯・G3D/Wを比較できます。価格商品ではなく、ボードSKUから参照する性能・VRAM情報として使用します。</x:v>
      </x:c>
      <x:c r="B2" s="111" t="str">
        <x:v>Radeon RX 6000以降とGeForce RTXシリーズのデスクトップ向け基準データです。価格商品ではなく、ボードSKUから参照する性能・VRAM情報として使用します。</x:v>
      </x:c>
      <x:c r="C2" s="111" t="str">
        <x:v>Radeon RX 6000以降とGeForce RTXシリーズのデスクトップ向け基準データです。価格商品ではなく、ボードSKUから参照する性能・VRAM情報として使用します。</x:v>
      </x:c>
      <x:c r="D2" s="111" t="str">
        <x:v>Radeon RX 6000以降とGeForce RTXシリーズのデスクトップ向け基準データです。価格商品ではなく、ボードSKUから参照する性能・VRAM情報として使用します。</x:v>
      </x:c>
      <x:c r="E2" s="111" t="str">
        <x:v>Radeon RX 6000以降とGeForce RTXシリーズのデスクトップ向け基準データです。価格商品ではなく、ボードSKUから参照する性能・VRAM情報として使用します。</x:v>
      </x:c>
      <x:c r="F2" s="111" t="str">
        <x:v>Radeon RX 6000以降とGeForce RTXシリーズのデスクトップ向け基準データです。価格商品ではなく、ボードSKUから参照する性能・VRAM情報として使用します。</x:v>
      </x:c>
      <x:c r="G2" s="111" t="str">
        <x:v>Radeon RX 6000以降とGeForce RTXシリーズのデスクトップ向け基準データです。価格商品ではなく、ボードSKUから参照する性能・VRAM情報として使用します。</x:v>
      </x:c>
      <x:c r="H2" s="111" t="str">
        <x:v>Radeon RX 6000以降とGeForce RTXシリーズのデスクトップ向け基準データです。価格商品ではなく、ボードSKUから参照する性能・VRAM情報として使用します。</x:v>
      </x:c>
      <x:c r="I2" s="111" t="str">
        <x:v>Radeon RX 6000以降とGeForce RTXシリーズのデスクトップ向け基準データです。価格商品ではなく、ボードSKUから参照する性能・VRAM情報として使用します。</x:v>
      </x:c>
      <x:c r="J2" s="111" t="str">
        <x:v>Radeon RX 6000以降とGeForce RTXシリーズのデスクトップ向け基準データです。価格商品ではなく、ボードSKUから参照する性能・VRAM情報として使用します。</x:v>
      </x:c>
      <x:c r="K2" s="111" t="str">
        <x:v>Radeon RX 6000以降とGeForce RTXシリーズのデスクトップ向け基準データです。価格商品ではなく、ボードSKUから参照する性能・VRAM情報として使用します。</x:v>
      </x:c>
      <x:c r="L2" s="111" t="str">
        <x:v>Radeon RX 6000以降とGeForce RTXシリーズのデスクトップ向け基準データです。価格商品ではなく、ボードSKUから参照する性能・VRAM情報として使用します。</x:v>
      </x:c>
      <x:c r="M2" s="111" t="str">
        <x:v>Radeon RX 6000以降とGeForce RTXシリーズのデスクトップ向け基準データです。価格商品ではなく、ボードSKUから参照する性能・VRAM情報として使用します。</x:v>
      </x:c>
      <x:c r="N2" s="111" t="str">
        <x:v>Radeon RX 6000以降とGeForce RTXシリーズのデスクトップ向け基準データです。価格商品ではなく、ボードSKUから参照する性能・VRAM情報として使用します。</x:v>
      </x:c>
      <x:c r="O2" s="111" t="str">
        <x:v>Radeon RX 6000以降とGeForce RTXシリーズのデスクトップ向け基準データです。価格商品ではなく、ボードSKUから参照する性能・VRAM情報として使用します。</x:v>
      </x:c>
      <x:c r="P2" s="111" t="str">
        <x:v>Radeon RX 6000以降とGeForce RTXシリーズのデスクトップ向け基準データです。価格商品ではなく、ボードSKUから参照する性能・VRAM情報として使用します。</x:v>
      </x:c>
      <x:c r="Q2" s="111" t="str">
        <x:v>Radeon RX 6000以降とGeForce RTXシリーズのデスクトップ向け基準データです。価格商品ではなく、ボードSKUから参照する性能・VRAM情報として使用します。</x:v>
      </x:c>
      <x:c r="R2" s="111" t="str">
        <x:v>Radeon RX 6000以降とGeForce RTXシリーズのデスクトップ向け基準データです。価格商品ではなく、ボードSKUから参照する性能・VRAM情報として使用します。</x:v>
      </x:c>
      <x:c r="S2" s="111" t="str">
        <x:v>Radeon RX 6000以降とGeForce RTXシリーズのデスクトップ向け基準データです。価格商品ではなく、ボードSKUから参照する性能・VRAM情報として使用します。</x:v>
      </x:c>
      <x:c r="T2" s="111" t="str">
        <x:v>Radeon RX 6000以降とGeForce RTXシリーズのデスクトップ向け基準データです。価格商品ではなく、ボードSKUから参照する性能・VRAM情報として使用します。</x:v>
      </x:c>
      <x:c r="U2" s="111" t="str">
        <x:v>Radeon RX 6000以降とGeForce RTXシリーズのデスクトップ向け基準データです。価格商品ではなく、ボードSKUから参照する性能・VRAM情報として使用します。</x:v>
      </x:c>
      <x:c r="V2" s="111" t="str">
        <x:v>Radeon RX 6000以降とGeForce RTXシリーズのデスクトップ向け基準データです。価格商品ではなく、ボードSKUから参照する性能・VRAM情報として使用します。</x:v>
      </x:c>
      <x:c r="W2" s="111" t="str">
        <x:v>Radeon RX 6000以降とGeForce RTXシリーズのデスクトップ向け基準データです。価格商品ではなく、ボードSKUから参照する性能・VRAM情報として使用します。</x:v>
      </x:c>
      <x:c r="X2" s="111" t="str">
        <x:v>Radeon RX 6000以降とGeForce RTXシリーズのデスクトップ向け基準データです。価格商品ではなく、ボードSKUから参照する性能・VRAM情報として使用します。</x:v>
      </x:c>
      <x:c r="Y2" s="111" t="str">
        <x:v>Radeon RX 6000以降とGeForce RTXシリーズのデスクトップ向け基準データです。価格商品ではなく、ボードSKUから参照する性能・VRAM情報として使用します。</x:v>
      </x:c>
      <x:c r="Z2" s="145" t="str">
        <x:v>PassMark G3Dから算出。実ゲームFPS・レイトレーシング性能ではありません。性能帯しきい値はListsで変更できます。</x:v>
      </x:c>
      <x:c r="AA2" s="145"/>
      <x:c r="AB2" s="145"/>
      <x:c r="AC2" s="145"/>
    </x:row>
    <x:row r="3" ht="22" customHeight="1">
      <x:c r="Z3" s="149" t="str">
        <x:v>基準GPU ID</x:v>
      </x:c>
      <x:c r="AA3" s="153" t="str">
        <x:v>nvidia-geforce-rtx-4060</x:v>
      </x:c>
      <x:c r="AB3" s="153"/>
      <x:c r="AC3" s="153"/>
    </x:row>
    <x:row r="4" ht="42" customHeight="1">
      <x:c r="A4" s="116" t="str">
        <x:v>product_id</x:v>
      </x:c>
      <x:c r="B4" s="116" t="str">
        <x:v>brand</x:v>
      </x:c>
      <x:c r="C4" s="116" t="str">
        <x:v>model</x:v>
      </x:c>
      <x:c r="D4" s="116" t="str">
        <x:v>display_name</x:v>
      </x:c>
      <x:c r="E4" s="116" t="str">
        <x:v>aliases</x:v>
      </x:c>
      <x:c r="F4" s="116" t="str">
        <x:v>status</x:v>
      </x:c>
      <x:c r="G4" s="116" t="str">
        <x:v>tier</x:v>
      </x:c>
      <x:c r="H4" s="116" t="str">
        <x:v>reviewed_at</x:v>
      </x:c>
      <x:c r="I4" s="116" t="str">
        <x:v>quality_summary</x:v>
      </x:c>
      <x:c r="J4" s="116" t="str">
        <x:v>strengths</x:v>
      </x:c>
      <x:c r="K4" s="116" t="str">
        <x:v>weaknesses</x:v>
      </x:c>
      <x:c r="L4" s="116" t="str">
        <x:v>risk_summary</x:v>
      </x:c>
      <x:c r="M4" s="116" t="str">
        <x:v>notes</x:v>
      </x:c>
      <x:c r="N4" s="116" t="str">
        <x:v>architecture</x:v>
      </x:c>
      <x:c r="O4" s="116" t="str">
        <x:v>generation</x:v>
      </x:c>
      <x:c r="P4" s="116" t="str">
        <x:v>release_date</x:v>
      </x:c>
      <x:c r="Q4" s="116" t="str">
        <x:v>launch_period</x:v>
      </x:c>
      <x:c r="R4" s="116" t="str">
        <x:v>release_date_precision</x:v>
      </x:c>
      <x:c r="S4" s="116" t="str">
        <x:v>vram_gb</x:v>
      </x:c>
      <x:c r="T4" s="116" t="str">
        <x:v>memory_type</x:v>
      </x:c>
      <x:c r="U4" s="116" t="str">
        <x:v>memory_bus_bits</x:v>
      </x:c>
      <x:c r="V4" s="116" t="str">
        <x:v>passmark_g3d_mark</x:v>
      </x:c>
      <x:c r="W4" s="116" t="str">
        <x:v>passmark_g2d_mark</x:v>
      </x:c>
      <x:c r="X4" s="116" t="str">
        <x:v>benchmark_reported_tdp_w</x:v>
      </x:c>
      <x:c r="Y4" s="116" t="str">
        <x:v>passmark_checked_at</x:v>
      </x:c>
      <x:c r="Z4" s="158" t="str">
        <x:v>performance_index_rtx4060_100</x:v>
      </x:c>
      <x:c r="AA4" s="158" t="str">
        <x:v>performance_rank</x:v>
      </x:c>
      <x:c r="AB4" s="158" t="str">
        <x:v>performance_class</x:v>
      </x:c>
      <x:c r="AC4" s="158" t="str">
        <x:v>passmark_g3d_per_watt</x:v>
      </x:c>
    </x:row>
    <x:row r="5" ht="38" customHeight="1">
      <x:c r="A5" s="12" t="str">
        <x:v>amd-radeon-rx-6400</x:v>
      </x:c>
      <x:c r="B5" s="12" t="str">
        <x:v>AMD</x:v>
      </x:c>
      <x:c r="C5" s="12" t="str">
        <x:v>Radeon RX 6400</x:v>
      </x:c>
      <x:c r="D5" s="12" t="str">
        <x:v>AMD Radeon RX 6400</x:v>
      </x:c>
      <x:c r="E5" s="12" t="str">
        <x:v>Radeon RX 6400</x:v>
      </x:c>
      <x:c r="F5" s="12" t="str">
        <x:v>research_required</x:v>
      </x:c>
      <x:c r="G5" s="12" t="str">
        <x:v>unrated</x:v>
      </x:c>
      <x:c r="H5" s="102" t="n">
        <x:v>46218</x:v>
      </x:c>
      <x:c r="I5" s="14" t="str">
        <x:v>GPUチップ性能比較用の基準レコード。実製品の冷却・騒音・寸法・保証はGPUシートのボードSKUで別評価します。</x:v>
      </x:c>
      <x:c r="J5" s="14"/>
      <x:c r="K5" s="14"/>
      <x:c r="L5" s="14" t="str">
        <x:v>ボードメーカー別の品質・保証・電源・寸法は未評価</x:v>
      </x:c>
      <x:c r="M5" s="14" t="str">
        <x:v>PassMark値は2026-07-15確認時点。販売商品への自動承認には使用せず、個別ボードSKUを別途登録してください。</x:v>
      </x:c>
      <x:c r="N5" s="12" t="str">
        <x:v>RDNA 2</x:v>
      </x:c>
      <x:c r="O5" s="12" t="str">
        <x:v>Radeon RX 6000 Series</x:v>
      </x:c>
      <x:c r="P5" s="102" t="n">
        <x:v>44671</x:v>
      </x:c>
      <x:c r="Q5" s="12" t="str">
        <x:v>2022-04-20</x:v>
      </x:c>
      <x:c r="R5" s="12" t="str">
        <x:v>exact</x:v>
      </x:c>
      <x:c r="S5" s="104" t="n">
        <x:v>4</x:v>
      </x:c>
      <x:c r="T5" s="12" t="str">
        <x:v>GDDR6</x:v>
      </x:c>
      <x:c r="U5" s="105" t="n">
        <x:v>64</x:v>
      </x:c>
      <x:c r="V5" s="105" t="n">
        <x:v>7746</x:v>
      </x:c>
      <x:c r="W5" s="105" t="n">
        <x:v>737</x:v>
      </x:c>
      <x:c r="X5" s="105" t="n">
        <x:v>53</x:v>
      </x:c>
      <x:c r="Y5" s="102" t="n">
        <x:v>46218</x:v>
      </x:c>
      <x:c r="Z5" s="164" t="n">
        <x:f>IF(A5="","",ROUND(V5/INDEX($V$5:$V$87,MATCH($AA$3,$A$5:$A$87,0))*100,1))</x:f>
        <x:v>39.7</x:v>
      </x:c>
      <x:c r="AA5" s="166" t="n">
        <x:f>IF(V5="","",COUNTIF($V$5:$V$87,"&gt;"&amp;V5)+1)</x:f>
        <x:v>64</x:v>
      </x:c>
      <x:c r="AB5" s="162" t="str">
        <x:f>IF(Z5="","",IF(Z5&gt;='Lists'!$AL$9,'Lists'!$AK$9,IF(Z5&gt;='Lists'!$AL$8,'Lists'!$AK$8,IF(Z5&gt;='Lists'!$AL$7,'Lists'!$AK$7,IF(Z5&gt;='Lists'!$AL$6,'Lists'!$AK$6,'Lists'!$AK$5)))))</x:f>
        <x:v>エントリー</x:v>
      </x:c>
      <x:c r="AC5" s="164" t="n">
        <x:f>IF(OR(V5="",X5="",X5=0),"",ROUND(V5/X5,1))</x:f>
        <x:v>146.2</x:v>
      </x:c>
    </x:row>
    <x:row r="6" ht="38" customHeight="1">
      <x:c r="A6" s="12" t="str">
        <x:v>amd-radeon-rx-6500-xt-4gb</x:v>
      </x:c>
      <x:c r="B6" s="12" t="str">
        <x:v>AMD</x:v>
      </x:c>
      <x:c r="C6" s="12" t="str">
        <x:v>Radeon RX 6500 XT 4GB</x:v>
      </x:c>
      <x:c r="D6" s="12" t="str">
        <x:v>AMD Radeon RX 6500 XT 4GB</x:v>
      </x:c>
      <x:c r="E6" s="12" t="str">
        <x:v>Radeon RX 6500 XT 4GB</x:v>
      </x:c>
      <x:c r="F6" s="12" t="str">
        <x:v>research_required</x:v>
      </x:c>
      <x:c r="G6" s="12" t="str">
        <x:v>unrated</x:v>
      </x:c>
      <x:c r="H6" s="102" t="n">
        <x:v>46218</x:v>
      </x:c>
      <x:c r="I6" s="14" t="str">
        <x:v>GPUチップ性能比較用の基準レコード。実製品の冷却・騒音・寸法・保証はGPUシートのボードSKUで別評価します。</x:v>
      </x:c>
      <x:c r="J6" s="14"/>
      <x:c r="K6" s="14"/>
      <x:c r="L6" s="14" t="str">
        <x:v>ボードメーカー別の品質・保証・電源・寸法は未評価</x:v>
      </x:c>
      <x:c r="M6" s="14" t="str">
        <x:v>PassMark値は2026-07-15確認時点。販売商品への自動承認には使用せず、個別ボードSKUを別途登録してください。</x:v>
      </x:c>
      <x:c r="N6" s="12" t="str">
        <x:v>RDNA 2</x:v>
      </x:c>
      <x:c r="O6" s="12" t="str">
        <x:v>Radeon RX 6000 Series</x:v>
      </x:c>
      <x:c r="P6" s="102" t="n">
        <x:v>44580</x:v>
      </x:c>
      <x:c r="Q6" s="12" t="str">
        <x:v>2022-01-19</x:v>
      </x:c>
      <x:c r="R6" s="12" t="str">
        <x:v>exact</x:v>
      </x:c>
      <x:c r="S6" s="104" t="n">
        <x:v>4</x:v>
      </x:c>
      <x:c r="T6" s="12" t="str">
        <x:v>GDDR6</x:v>
      </x:c>
      <x:c r="U6" s="105" t="n">
        <x:v>64</x:v>
      </x:c>
      <x:c r="V6" s="105" t="n">
        <x:v>9622</x:v>
      </x:c>
      <x:c r="W6" s="105" t="n">
        <x:v>817</x:v>
      </x:c>
      <x:c r="X6" s="105" t="n">
        <x:v>107</x:v>
      </x:c>
      <x:c r="Y6" s="102" t="n">
        <x:v>46218</x:v>
      </x:c>
      <x:c r="Z6" s="165" t="n">
        <x:f>IF(A6="","",ROUND(V6/INDEX($V$5:$V$87,MATCH($AA$3,$A$5:$A$87,0))*100,1))</x:f>
        <x:v>49.4</x:v>
      </x:c>
      <x:c r="AA6" s="167" t="n">
        <x:f>IF(V6="","",COUNTIF($V$5:$V$87,"&gt;"&amp;V6)+1)</x:f>
        <x:v>62</x:v>
      </x:c>
      <x:c r="AB6" s="163" t="str">
        <x:f>IF(Z6="","",IF(Z6&gt;='Lists'!$AL$9,'Lists'!$AK$9,IF(Z6&gt;='Lists'!$AL$8,'Lists'!$AK$8,IF(Z6&gt;='Lists'!$AL$7,'Lists'!$AK$7,IF(Z6&gt;='Lists'!$AL$6,'Lists'!$AK$6,'Lists'!$AK$5)))))</x:f>
        <x:v>エントリー</x:v>
      </x:c>
      <x:c r="AC6" s="165" t="n">
        <x:f>IF(OR(V6="",X6="",X6=0),"",ROUND(V6/X6,1))</x:f>
        <x:v>89.9</x:v>
      </x:c>
    </x:row>
    <x:row r="7" ht="38" customHeight="1">
      <x:c r="A7" s="12" t="str">
        <x:v>amd-radeon-rx-6500-xt-8gb</x:v>
      </x:c>
      <x:c r="B7" s="12" t="str">
        <x:v>AMD</x:v>
      </x:c>
      <x:c r="C7" s="12" t="str">
        <x:v>Radeon RX 6500 XT 8GB</x:v>
      </x:c>
      <x:c r="D7" s="12" t="str">
        <x:v>AMD Radeon RX 6500 XT 8GB</x:v>
      </x:c>
      <x:c r="E7" s="12" t="str">
        <x:v>Radeon RX 6500 XT 8GB</x:v>
      </x:c>
      <x:c r="F7" s="12" t="str">
        <x:v>research_required</x:v>
      </x:c>
      <x:c r="G7" s="12" t="str">
        <x:v>unrated</x:v>
      </x:c>
      <x:c r="H7" s="102" t="n">
        <x:v>46218</x:v>
      </x:c>
      <x:c r="I7" s="14" t="str">
        <x:v>GPUチップ性能比較用の基準レコード。実製品の冷却・騒音・寸法・保証はGPUシートのボードSKUで別評価します。</x:v>
      </x:c>
      <x:c r="J7" s="14"/>
      <x:c r="K7" s="14"/>
      <x:c r="L7" s="14" t="str">
        <x:v>ボードメーカー別の品質・保証・電源・寸法は未評価</x:v>
      </x:c>
      <x:c r="M7" s="14" t="str">
        <x:v>PassMarkは4GB/8GBを別集計していないため共通スコアを参考値として使用。販売商品への自動承認には使用せず、個別ボードSKUを別途登録してください。</x:v>
      </x:c>
      <x:c r="N7" s="12" t="str">
        <x:v>RDNA 2</x:v>
      </x:c>
      <x:c r="O7" s="12" t="str">
        <x:v>Radeon RX 6000 Series</x:v>
      </x:c>
      <x:c r="P7" s="102" t="n">
        <x:v>44580</x:v>
      </x:c>
      <x:c r="Q7" s="12" t="str">
        <x:v>2022-01-19</x:v>
      </x:c>
      <x:c r="R7" s="12" t="str">
        <x:v>exact</x:v>
      </x:c>
      <x:c r="S7" s="104" t="n">
        <x:v>8</x:v>
      </x:c>
      <x:c r="T7" s="12" t="str">
        <x:v>GDDR6</x:v>
      </x:c>
      <x:c r="U7" s="105" t="n">
        <x:v>64</x:v>
      </x:c>
      <x:c r="V7" s="105" t="n">
        <x:v>9622</x:v>
      </x:c>
      <x:c r="W7" s="105" t="n">
        <x:v>817</x:v>
      </x:c>
      <x:c r="X7" s="105" t="n">
        <x:v>107</x:v>
      </x:c>
      <x:c r="Y7" s="102" t="n">
        <x:v>46218</x:v>
      </x:c>
      <x:c r="Z7" s="164" t="n">
        <x:f>IF(A7="","",ROUND(V7/INDEX($V$5:$V$87,MATCH($AA$3,$A$5:$A$87,0))*100,1))</x:f>
        <x:v>49.4</x:v>
      </x:c>
      <x:c r="AA7" s="166" t="n">
        <x:f>IF(V7="","",COUNTIF($V$5:$V$87,"&gt;"&amp;V7)+1)</x:f>
        <x:v>62</x:v>
      </x:c>
      <x:c r="AB7" s="162" t="str">
        <x:f>IF(Z7="","",IF(Z7&gt;='Lists'!$AL$9,'Lists'!$AK$9,IF(Z7&gt;='Lists'!$AL$8,'Lists'!$AK$8,IF(Z7&gt;='Lists'!$AL$7,'Lists'!$AK$7,IF(Z7&gt;='Lists'!$AL$6,'Lists'!$AK$6,'Lists'!$AK$5)))))</x:f>
        <x:v>エントリー</x:v>
      </x:c>
      <x:c r="AC7" s="164" t="n">
        <x:f>IF(OR(V7="",X7="",X7=0),"",ROUND(V7/X7,1))</x:f>
        <x:v>89.9</x:v>
      </x:c>
    </x:row>
    <x:row r="8" ht="38" customHeight="1">
      <x:c r="A8" s="12" t="str">
        <x:v>amd-radeon-rx-6600</x:v>
      </x:c>
      <x:c r="B8" s="12" t="str">
        <x:v>AMD</x:v>
      </x:c>
      <x:c r="C8" s="12" t="str">
        <x:v>Radeon RX 6600</x:v>
      </x:c>
      <x:c r="D8" s="12" t="str">
        <x:v>AMD Radeon RX 6600</x:v>
      </x:c>
      <x:c r="E8" s="12" t="str">
        <x:v>Radeon RX 6600</x:v>
      </x:c>
      <x:c r="F8" s="12" t="str">
        <x:v>research_required</x:v>
      </x:c>
      <x:c r="G8" s="12" t="str">
        <x:v>unrated</x:v>
      </x:c>
      <x:c r="H8" s="102" t="n">
        <x:v>46218</x:v>
      </x:c>
      <x:c r="I8" s="14" t="str">
        <x:v>GPUチップ性能比較用の基準レコード。実製品の冷却・騒音・寸法・保証はGPUシートのボードSKUで別評価します。</x:v>
      </x:c>
      <x:c r="J8" s="14"/>
      <x:c r="K8" s="14"/>
      <x:c r="L8" s="14" t="str">
        <x:v>ボードメーカー別の品質・保証・電源・寸法は未評価</x:v>
      </x:c>
      <x:c r="M8" s="14" t="str">
        <x:v>PassMark値は2026-07-15確認時点。販売商品への自動承認には使用せず、個別ボードSKUを別途登録してください。</x:v>
      </x:c>
      <x:c r="N8" s="12" t="str">
        <x:v>RDNA 2</x:v>
      </x:c>
      <x:c r="O8" s="12" t="str">
        <x:v>Radeon RX 6000 Series</x:v>
      </x:c>
      <x:c r="P8" s="102" t="n">
        <x:v>44482</x:v>
      </x:c>
      <x:c r="Q8" s="12" t="str">
        <x:v>2021-10-13</x:v>
      </x:c>
      <x:c r="R8" s="12" t="str">
        <x:v>exact</x:v>
      </x:c>
      <x:c r="S8" s="104" t="n">
        <x:v>8</x:v>
      </x:c>
      <x:c r="T8" s="12" t="str">
        <x:v>GDDR6</x:v>
      </x:c>
      <x:c r="U8" s="105" t="n">
        <x:v>128</x:v>
      </x:c>
      <x:c r="V8" s="105" t="n">
        <x:v>15054</x:v>
      </x:c>
      <x:c r="W8" s="105" t="n">
        <x:v>896</x:v>
      </x:c>
      <x:c r="X8" s="105" t="n">
        <x:v>132</x:v>
      </x:c>
      <x:c r="Y8" s="102" t="n">
        <x:v>46218</x:v>
      </x:c>
      <x:c r="Z8" s="165" t="n">
        <x:f>IF(A8="","",ROUND(V8/INDEX($V$5:$V$87,MATCH($AA$3,$A$5:$A$87,0))*100,1))</x:f>
        <x:v>77.2</x:v>
      </x:c>
      <x:c r="AA8" s="167" t="n">
        <x:f>IF(V8="","",COUNTIF($V$5:$V$87,"&gt;"&amp;V8)+1)</x:f>
        <x:v>58</x:v>
      </x:c>
      <x:c r="AB8" s="163" t="str">
        <x:f>IF(Z8="","",IF(Z8&gt;='Lists'!$AL$9,'Lists'!$AK$9,IF(Z8&gt;='Lists'!$AL$8,'Lists'!$AK$8,IF(Z8&gt;='Lists'!$AL$7,'Lists'!$AK$7,IF(Z8&gt;='Lists'!$AL$6,'Lists'!$AK$6,'Lists'!$AK$5)))))</x:f>
        <x:v>メインストリーム</x:v>
      </x:c>
      <x:c r="AC8" s="165" t="n">
        <x:f>IF(OR(V8="",X8="",X8=0),"",ROUND(V8/X8,1))</x:f>
        <x:v>114</x:v>
      </x:c>
    </x:row>
    <x:row r="9" ht="38" customHeight="1">
      <x:c r="A9" s="12" t="str">
        <x:v>amd-radeon-rx-6600-xt</x:v>
      </x:c>
      <x:c r="B9" s="12" t="str">
        <x:v>AMD</x:v>
      </x:c>
      <x:c r="C9" s="12" t="str">
        <x:v>Radeon RX 6600 XT</x:v>
      </x:c>
      <x:c r="D9" s="12" t="str">
        <x:v>AMD Radeon RX 6600 XT</x:v>
      </x:c>
      <x:c r="E9" s="12" t="str">
        <x:v>Radeon RX 6600 XT</x:v>
      </x:c>
      <x:c r="F9" s="12" t="str">
        <x:v>research_required</x:v>
      </x:c>
      <x:c r="G9" s="12" t="str">
        <x:v>unrated</x:v>
      </x:c>
      <x:c r="H9" s="102" t="n">
        <x:v>46218</x:v>
      </x:c>
      <x:c r="I9" s="14" t="str">
        <x:v>GPUチップ性能比較用の基準レコード。実製品の冷却・騒音・寸法・保証はGPUシートのボードSKUで別評価します。</x:v>
      </x:c>
      <x:c r="J9" s="14"/>
      <x:c r="K9" s="14"/>
      <x:c r="L9" s="14" t="str">
        <x:v>ボードメーカー別の品質・保証・電源・寸法は未評価</x:v>
      </x:c>
      <x:c r="M9" s="14" t="str">
        <x:v>PassMark値は2026-07-15確認時点。販売商品への自動承認には使用せず、個別ボードSKUを別途登録してください。</x:v>
      </x:c>
      <x:c r="N9" s="12" t="str">
        <x:v>RDNA 2</x:v>
      </x:c>
      <x:c r="O9" s="12" t="str">
        <x:v>Radeon RX 6000 Series</x:v>
      </x:c>
      <x:c r="P9" s="102" t="n">
        <x:v>44419</x:v>
      </x:c>
      <x:c r="Q9" s="12" t="str">
        <x:v>2021-08-11</x:v>
      </x:c>
      <x:c r="R9" s="12" t="str">
        <x:v>exact</x:v>
      </x:c>
      <x:c r="S9" s="104" t="n">
        <x:v>8</x:v>
      </x:c>
      <x:c r="T9" s="12" t="str">
        <x:v>GDDR6</x:v>
      </x:c>
      <x:c r="U9" s="105" t="n">
        <x:v>128</x:v>
      </x:c>
      <x:c r="V9" s="105" t="n">
        <x:v>16440</x:v>
      </x:c>
      <x:c r="W9" s="105" t="n">
        <x:v>914</x:v>
      </x:c>
      <x:c r="X9" s="105" t="n">
        <x:v>160</x:v>
      </x:c>
      <x:c r="Y9" s="102" t="n">
        <x:v>46218</x:v>
      </x:c>
      <x:c r="Z9" s="164" t="n">
        <x:f>IF(A9="","",ROUND(V9/INDEX($V$5:$V$87,MATCH($AA$3,$A$5:$A$87,0))*100,1))</x:f>
        <x:v>84.3</x:v>
      </x:c>
      <x:c r="AA9" s="166" t="n">
        <x:f>IF(V9="","",COUNTIF($V$5:$V$87,"&gt;"&amp;V9)+1)</x:f>
        <x:v>54</x:v>
      </x:c>
      <x:c r="AB9" s="162" t="str">
        <x:f>IF(Z9="","",IF(Z9&gt;='Lists'!$AL$9,'Lists'!$AK$9,IF(Z9&gt;='Lists'!$AL$8,'Lists'!$AK$8,IF(Z9&gt;='Lists'!$AL$7,'Lists'!$AK$7,IF(Z9&gt;='Lists'!$AL$6,'Lists'!$AK$6,'Lists'!$AK$5)))))</x:f>
        <x:v>メインストリーム</x:v>
      </x:c>
      <x:c r="AC9" s="164" t="n">
        <x:f>IF(OR(V9="",X9="",X9=0),"",ROUND(V9/X9,1))</x:f>
        <x:v>102.8</x:v>
      </x:c>
    </x:row>
    <x:row r="10" ht="38" customHeight="1">
      <x:c r="A10" s="12" t="str">
        <x:v>amd-radeon-rx-6650-xt</x:v>
      </x:c>
      <x:c r="B10" s="12" t="str">
        <x:v>AMD</x:v>
      </x:c>
      <x:c r="C10" s="12" t="str">
        <x:v>Radeon RX 6650 XT</x:v>
      </x:c>
      <x:c r="D10" s="12" t="str">
        <x:v>AMD Radeon RX 6650 XT</x:v>
      </x:c>
      <x:c r="E10" s="12" t="str">
        <x:v>Radeon RX 6650 XT</x:v>
      </x:c>
      <x:c r="F10" s="12" t="str">
        <x:v>research_required</x:v>
      </x:c>
      <x:c r="G10" s="12" t="str">
        <x:v>unrated</x:v>
      </x:c>
      <x:c r="H10" s="102" t="n">
        <x:v>46218</x:v>
      </x:c>
      <x:c r="I10" s="14" t="str">
        <x:v>GPUチップ性能比較用の基準レコード。実製品の冷却・騒音・寸法・保証はGPUシートのボードSKUで別評価します。</x:v>
      </x:c>
      <x:c r="J10" s="14"/>
      <x:c r="K10" s="14"/>
      <x:c r="L10" s="14" t="str">
        <x:v>ボードメーカー別の品質・保証・電源・寸法は未評価</x:v>
      </x:c>
      <x:c r="M10" s="14" t="str">
        <x:v>PassMark値は2026-07-15確認時点。販売商品への自動承認には使用せず、個別ボードSKUを別途登録してください。</x:v>
      </x:c>
      <x:c r="N10" s="12" t="str">
        <x:v>RDNA 2</x:v>
      </x:c>
      <x:c r="O10" s="12" t="str">
        <x:v>Radeon RX 6000 Series</x:v>
      </x:c>
      <x:c r="P10" s="102" t="n">
        <x:v>44691</x:v>
      </x:c>
      <x:c r="Q10" s="12" t="str">
        <x:v>2022-05-10</x:v>
      </x:c>
      <x:c r="R10" s="12" t="str">
        <x:v>exact</x:v>
      </x:c>
      <x:c r="S10" s="104" t="n">
        <x:v>8</x:v>
      </x:c>
      <x:c r="T10" s="12" t="str">
        <x:v>GDDR6</x:v>
      </x:c>
      <x:c r="U10" s="105" t="n">
        <x:v>128</x:v>
      </x:c>
      <x:c r="V10" s="105" t="n">
        <x:v>17113</x:v>
      </x:c>
      <x:c r="W10" s="105" t="n">
        <x:v>926</x:v>
      </x:c>
      <x:c r="X10" s="105" t="n">
        <x:v>176</x:v>
      </x:c>
      <x:c r="Y10" s="102" t="n">
        <x:v>46218</x:v>
      </x:c>
      <x:c r="Z10" s="165" t="n">
        <x:f>IF(A10="","",ROUND(V10/INDEX($V$5:$V$87,MATCH($AA$3,$A$5:$A$87,0))*100,1))</x:f>
        <x:v>87.8</x:v>
      </x:c>
      <x:c r="AA10" s="167" t="n">
        <x:f>IF(V10="","",COUNTIF($V$5:$V$87,"&gt;"&amp;V10)+1)</x:f>
        <x:v>49</x:v>
      </x:c>
      <x:c r="AB10" s="163" t="str">
        <x:f>IF(Z10="","",IF(Z10&gt;='Lists'!$AL$9,'Lists'!$AK$9,IF(Z10&gt;='Lists'!$AL$8,'Lists'!$AK$8,IF(Z10&gt;='Lists'!$AL$7,'Lists'!$AK$7,IF(Z10&gt;='Lists'!$AL$6,'Lists'!$AK$6,'Lists'!$AK$5)))))</x:f>
        <x:v>メインストリーム</x:v>
      </x:c>
      <x:c r="AC10" s="165" t="n">
        <x:f>IF(OR(V10="",X10="",X10=0),"",ROUND(V10/X10,1))</x:f>
        <x:v>97.2</x:v>
      </x:c>
    </x:row>
    <x:row r="11" ht="38" customHeight="1">
      <x:c r="A11" s="12" t="str">
        <x:v>amd-radeon-rx-6700</x:v>
      </x:c>
      <x:c r="B11" s="12" t="str">
        <x:v>AMD</x:v>
      </x:c>
      <x:c r="C11" s="12" t="str">
        <x:v>Radeon RX 6700</x:v>
      </x:c>
      <x:c r="D11" s="12" t="str">
        <x:v>AMD Radeon RX 6700</x:v>
      </x:c>
      <x:c r="E11" s="12" t="str">
        <x:v>Radeon RX 6700</x:v>
      </x:c>
      <x:c r="F11" s="12" t="str">
        <x:v>research_required</x:v>
      </x:c>
      <x:c r="G11" s="12" t="str">
        <x:v>unrated</x:v>
      </x:c>
      <x:c r="H11" s="102" t="n">
        <x:v>46218</x:v>
      </x:c>
      <x:c r="I11" s="14" t="str">
        <x:v>GPUチップ性能比較用の基準レコード。実製品の冷却・騒音・寸法・保証はGPUシートのボードSKUで別評価します。</x:v>
      </x:c>
      <x:c r="J11" s="14"/>
      <x:c r="K11" s="14"/>
      <x:c r="L11" s="14" t="str">
        <x:v>ボードメーカー別の品質・保証・電源・寸法は未評価</x:v>
      </x:c>
      <x:c r="M11" s="14" t="str">
        <x:v>PassMark値は2026-07-15確認時点。販売商品への自動承認には使用せず、個別ボードSKUを別途登録してください。</x:v>
      </x:c>
      <x:c r="N11" s="12" t="str">
        <x:v>RDNA 2</x:v>
      </x:c>
      <x:c r="O11" s="12" t="str">
        <x:v>Radeon RX 6000 Series</x:v>
      </x:c>
      <x:c r="P11" s="102" t="n">
        <x:v>44356</x:v>
      </x:c>
      <x:c r="Q11" s="12" t="str">
        <x:v>2021-06-09</x:v>
      </x:c>
      <x:c r="R11" s="12" t="str">
        <x:v>exact</x:v>
      </x:c>
      <x:c r="S11" s="104" t="n">
        <x:v>10</x:v>
      </x:c>
      <x:c r="T11" s="12" t="str">
        <x:v>GDDR6</x:v>
      </x:c>
      <x:c r="U11" s="105" t="n">
        <x:v>160</x:v>
      </x:c>
      <x:c r="V11" s="105" t="n">
        <x:v>18929</x:v>
      </x:c>
      <x:c r="W11" s="105" t="n">
        <x:v>941</x:v>
      </x:c>
      <x:c r="X11" s="105" t="n">
        <x:v>175</x:v>
      </x:c>
      <x:c r="Y11" s="102" t="n">
        <x:v>46218</x:v>
      </x:c>
      <x:c r="Z11" s="164" t="n">
        <x:f>IF(A11="","",ROUND(V11/INDEX($V$5:$V$87,MATCH($AA$3,$A$5:$A$87,0))*100,1))</x:f>
        <x:v>97.1</x:v>
      </x:c>
      <x:c r="AA11" s="166" t="n">
        <x:f>IF(V11="","",COUNTIF($V$5:$V$87,"&gt;"&amp;V11)+1)</x:f>
        <x:v>44</x:v>
      </x:c>
      <x:c r="AB11" s="162" t="str">
        <x:f>IF(Z11="","",IF(Z11&gt;='Lists'!$AL$9,'Lists'!$AK$9,IF(Z11&gt;='Lists'!$AL$8,'Lists'!$AK$8,IF(Z11&gt;='Lists'!$AL$7,'Lists'!$AK$7,IF(Z11&gt;='Lists'!$AL$6,'Lists'!$AK$6,'Lists'!$AK$5)))))</x:f>
        <x:v>メインストリーム</x:v>
      </x:c>
      <x:c r="AC11" s="164" t="n">
        <x:f>IF(OR(V11="",X11="",X11=0),"",ROUND(V11/X11,1))</x:f>
        <x:v>108.2</x:v>
      </x:c>
    </x:row>
    <x:row r="12" ht="38" customHeight="1">
      <x:c r="A12" s="12" t="str">
        <x:v>amd-radeon-rx-6700-xt</x:v>
      </x:c>
      <x:c r="B12" s="12" t="str">
        <x:v>AMD</x:v>
      </x:c>
      <x:c r="C12" s="12" t="str">
        <x:v>Radeon RX 6700 XT</x:v>
      </x:c>
      <x:c r="D12" s="12" t="str">
        <x:v>AMD Radeon RX 6700 XT</x:v>
      </x:c>
      <x:c r="E12" s="12" t="str">
        <x:v>Radeon RX 6700 XT</x:v>
      </x:c>
      <x:c r="F12" s="12" t="str">
        <x:v>research_required</x:v>
      </x:c>
      <x:c r="G12" s="12" t="str">
        <x:v>unrated</x:v>
      </x:c>
      <x:c r="H12" s="102" t="n">
        <x:v>46218</x:v>
      </x:c>
      <x:c r="I12" s="14" t="str">
        <x:v>GPUチップ性能比較用の基準レコード。実製品の冷却・騒音・寸法・保証はGPUシートのボードSKUで別評価します。</x:v>
      </x:c>
      <x:c r="J12" s="14"/>
      <x:c r="K12" s="14"/>
      <x:c r="L12" s="14" t="str">
        <x:v>ボードメーカー別の品質・保証・電源・寸法は未評価</x:v>
      </x:c>
      <x:c r="M12" s="14" t="str">
        <x:v>PassMark値は2026-07-15確認時点。販売商品への自動承認には使用せず、個別ボードSKUを別途登録してください。</x:v>
      </x:c>
      <x:c r="N12" s="12" t="str">
        <x:v>RDNA 2</x:v>
      </x:c>
      <x:c r="O12" s="12" t="str">
        <x:v>Radeon RX 6000 Series</x:v>
      </x:c>
      <x:c r="P12" s="102" t="n">
        <x:v>44273</x:v>
      </x:c>
      <x:c r="Q12" s="12" t="str">
        <x:v>2021-03-18</x:v>
      </x:c>
      <x:c r="R12" s="12" t="str">
        <x:v>exact</x:v>
      </x:c>
      <x:c r="S12" s="104" t="n">
        <x:v>12</x:v>
      </x:c>
      <x:c r="T12" s="12" t="str">
        <x:v>GDDR6</x:v>
      </x:c>
      <x:c r="U12" s="105" t="n">
        <x:v>192</x:v>
      </x:c>
      <x:c r="V12" s="105" t="n">
        <x:v>19730</x:v>
      </x:c>
      <x:c r="W12" s="105" t="n">
        <x:v>954</x:v>
      </x:c>
      <x:c r="X12" s="105" t="n">
        <x:v>230</x:v>
      </x:c>
      <x:c r="Y12" s="102" t="n">
        <x:v>46218</x:v>
      </x:c>
      <x:c r="Z12" s="165" t="n">
        <x:f>IF(A12="","",ROUND(V12/INDEX($V$5:$V$87,MATCH($AA$3,$A$5:$A$87,0))*100,1))</x:f>
        <x:v>101.2</x:v>
      </x:c>
      <x:c r="AA12" s="167" t="n">
        <x:f>IF(V12="","",COUNTIF($V$5:$V$87,"&gt;"&amp;V12)+1)</x:f>
        <x:v>41</x:v>
      </x:c>
      <x:c r="AB12" s="163" t="str">
        <x:f>IF(Z12="","",IF(Z12&gt;='Lists'!$AL$9,'Lists'!$AK$9,IF(Z12&gt;='Lists'!$AL$8,'Lists'!$AK$8,IF(Z12&gt;='Lists'!$AL$7,'Lists'!$AK$7,IF(Z12&gt;='Lists'!$AL$6,'Lists'!$AK$6,'Lists'!$AK$5)))))</x:f>
        <x:v>メインストリーム</x:v>
      </x:c>
      <x:c r="AC12" s="165" t="n">
        <x:f>IF(OR(V12="",X12="",X12=0),"",ROUND(V12/X12,1))</x:f>
        <x:v>85.8</x:v>
      </x:c>
    </x:row>
    <x:row r="13" ht="38" customHeight="1">
      <x:c r="A13" s="12" t="str">
        <x:v>amd-radeon-rx-6750-xt</x:v>
      </x:c>
      <x:c r="B13" s="12" t="str">
        <x:v>AMD</x:v>
      </x:c>
      <x:c r="C13" s="12" t="str">
        <x:v>Radeon RX 6750 XT</x:v>
      </x:c>
      <x:c r="D13" s="12" t="str">
        <x:v>AMD Radeon RX 6750 XT</x:v>
      </x:c>
      <x:c r="E13" s="12" t="str">
        <x:v>Radeon RX 6750 XT</x:v>
      </x:c>
      <x:c r="F13" s="12" t="str">
        <x:v>research_required</x:v>
      </x:c>
      <x:c r="G13" s="12" t="str">
        <x:v>unrated</x:v>
      </x:c>
      <x:c r="H13" s="102" t="n">
        <x:v>46218</x:v>
      </x:c>
      <x:c r="I13" s="14" t="str">
        <x:v>GPUチップ性能比較用の基準レコード。実製品の冷却・騒音・寸法・保証はGPUシートのボードSKUで別評価します。</x:v>
      </x:c>
      <x:c r="J13" s="14"/>
      <x:c r="K13" s="14"/>
      <x:c r="L13" s="14" t="str">
        <x:v>ボードメーカー別の品質・保証・電源・寸法は未評価</x:v>
      </x:c>
      <x:c r="M13" s="14" t="str">
        <x:v>PassMark値は2026-07-15確認時点。販売商品への自動承認には使用せず、個別ボードSKUを別途登録してください。</x:v>
      </x:c>
      <x:c r="N13" s="12" t="str">
        <x:v>RDNA 2</x:v>
      </x:c>
      <x:c r="O13" s="12" t="str">
        <x:v>Radeon RX 6000 Series</x:v>
      </x:c>
      <x:c r="P13" s="102" t="n">
        <x:v>44691</x:v>
      </x:c>
      <x:c r="Q13" s="12" t="str">
        <x:v>2022-05-10</x:v>
      </x:c>
      <x:c r="R13" s="12" t="str">
        <x:v>exact</x:v>
      </x:c>
      <x:c r="S13" s="104" t="n">
        <x:v>12</x:v>
      </x:c>
      <x:c r="T13" s="12" t="str">
        <x:v>GDDR6</x:v>
      </x:c>
      <x:c r="U13" s="105" t="n">
        <x:v>192</x:v>
      </x:c>
      <x:c r="V13" s="105" t="n">
        <x:v>20711</x:v>
      </x:c>
      <x:c r="W13" s="105" t="n">
        <x:v>980</x:v>
      </x:c>
      <x:c r="X13" s="105" t="n">
        <x:v>250</x:v>
      </x:c>
      <x:c r="Y13" s="102" t="n">
        <x:v>46218</x:v>
      </x:c>
      <x:c r="Z13" s="164" t="n">
        <x:f>IF(A13="","",ROUND(V13/INDEX($V$5:$V$87,MATCH($AA$3,$A$5:$A$87,0))*100,1))</x:f>
        <x:v>106.2</x:v>
      </x:c>
      <x:c r="AA13" s="166" t="n">
        <x:f>IF(V13="","",COUNTIF($V$5:$V$87,"&gt;"&amp;V13)+1)</x:f>
        <x:v>36</x:v>
      </x:c>
      <x:c r="AB13" s="162" t="str">
        <x:f>IF(Z13="","",IF(Z13&gt;='Lists'!$AL$9,'Lists'!$AK$9,IF(Z13&gt;='Lists'!$AL$8,'Lists'!$AK$8,IF(Z13&gt;='Lists'!$AL$7,'Lists'!$AK$7,IF(Z13&gt;='Lists'!$AL$6,'Lists'!$AK$6,'Lists'!$AK$5)))))</x:f>
        <x:v>メインストリーム</x:v>
      </x:c>
      <x:c r="AC13" s="164" t="n">
        <x:f>IF(OR(V13="",X13="",X13=0),"",ROUND(V13/X13,1))</x:f>
        <x:v>82.8</x:v>
      </x:c>
    </x:row>
    <x:row r="14" ht="38" customHeight="1">
      <x:c r="A14" s="12" t="str">
        <x:v>amd-radeon-rx-6800</x:v>
      </x:c>
      <x:c r="B14" s="12" t="str">
        <x:v>AMD</x:v>
      </x:c>
      <x:c r="C14" s="12" t="str">
        <x:v>Radeon RX 6800</x:v>
      </x:c>
      <x:c r="D14" s="12" t="str">
        <x:v>AMD Radeon RX 6800</x:v>
      </x:c>
      <x:c r="E14" s="12" t="str">
        <x:v>Radeon RX 6800</x:v>
      </x:c>
      <x:c r="F14" s="12" t="str">
        <x:v>research_required</x:v>
      </x:c>
      <x:c r="G14" s="12" t="str">
        <x:v>unrated</x:v>
      </x:c>
      <x:c r="H14" s="102" t="n">
        <x:v>46218</x:v>
      </x:c>
      <x:c r="I14" s="14" t="str">
        <x:v>GPUチップ性能比較用の基準レコード。実製品の冷却・騒音・寸法・保証はGPUシートのボードSKUで別評価します。</x:v>
      </x:c>
      <x:c r="J14" s="14"/>
      <x:c r="K14" s="14"/>
      <x:c r="L14" s="14" t="str">
        <x:v>ボードメーカー別の品質・保証・電源・寸法は未評価</x:v>
      </x:c>
      <x:c r="M14" s="14" t="str">
        <x:v>PassMark値は2026-07-15確認時点。販売商品への自動承認には使用せず、個別ボードSKUを別途登録してください。</x:v>
      </x:c>
      <x:c r="N14" s="12" t="str">
        <x:v>RDNA 2</x:v>
      </x:c>
      <x:c r="O14" s="12" t="str">
        <x:v>Radeon RX 6000 Series</x:v>
      </x:c>
      <x:c r="P14" s="102" t="n">
        <x:v>44153</x:v>
      </x:c>
      <x:c r="Q14" s="12" t="str">
        <x:v>2020-11-18</x:v>
      </x:c>
      <x:c r="R14" s="12" t="str">
        <x:v>exact</x:v>
      </x:c>
      <x:c r="S14" s="104" t="n">
        <x:v>16</x:v>
      </x:c>
      <x:c r="T14" s="12" t="str">
        <x:v>GDDR6</x:v>
      </x:c>
      <x:c r="U14" s="105" t="n">
        <x:v>256</x:v>
      </x:c>
      <x:c r="V14" s="105" t="n">
        <x:v>22071</x:v>
      </x:c>
      <x:c r="W14" s="105" t="n">
        <x:v>1000</x:v>
      </x:c>
      <x:c r="X14" s="105" t="n">
        <x:v>250</x:v>
      </x:c>
      <x:c r="Y14" s="102" t="n">
        <x:v>46218</x:v>
      </x:c>
      <x:c r="Z14" s="165" t="n">
        <x:f>IF(A14="","",ROUND(V14/INDEX($V$5:$V$87,MATCH($AA$3,$A$5:$A$87,0))*100,1))</x:f>
        <x:v>113.2</x:v>
      </x:c>
      <x:c r="AA14" s="167" t="n">
        <x:f>IF(V14="","",COUNTIF($V$5:$V$87,"&gt;"&amp;V14)+1)</x:f>
        <x:v>33</x:v>
      </x:c>
      <x:c r="AB14" s="163" t="str">
        <x:f>IF(Z14="","",IF(Z14&gt;='Lists'!$AL$9,'Lists'!$AK$9,IF(Z14&gt;='Lists'!$AL$8,'Lists'!$AK$8,IF(Z14&gt;='Lists'!$AL$7,'Lists'!$AK$7,IF(Z14&gt;='Lists'!$AL$6,'Lists'!$AK$6,'Lists'!$AK$5)))))</x:f>
        <x:v>ミドルレンジ</x:v>
      </x:c>
      <x:c r="AC14" s="165" t="n">
        <x:f>IF(OR(V14="",X14="",X14=0),"",ROUND(V14/X14,1))</x:f>
        <x:v>88.3</x:v>
      </x:c>
    </x:row>
    <x:row r="15" ht="38" customHeight="1">
      <x:c r="A15" s="12" t="str">
        <x:v>amd-radeon-rx-6800-xt</x:v>
      </x:c>
      <x:c r="B15" s="12" t="str">
        <x:v>AMD</x:v>
      </x:c>
      <x:c r="C15" s="12" t="str">
        <x:v>Radeon RX 6800 XT</x:v>
      </x:c>
      <x:c r="D15" s="12" t="str">
        <x:v>AMD Radeon RX 6800 XT</x:v>
      </x:c>
      <x:c r="E15" s="12" t="str">
        <x:v>Radeon RX 6800 XT</x:v>
      </x:c>
      <x:c r="F15" s="12" t="str">
        <x:v>research_required</x:v>
      </x:c>
      <x:c r="G15" s="12" t="str">
        <x:v>unrated</x:v>
      </x:c>
      <x:c r="H15" s="102" t="n">
        <x:v>46218</x:v>
      </x:c>
      <x:c r="I15" s="14" t="str">
        <x:v>GPUチップ性能比較用の基準レコード。実製品の冷却・騒音・寸法・保証はGPUシートのボードSKUで別評価します。</x:v>
      </x:c>
      <x:c r="J15" s="14"/>
      <x:c r="K15" s="14"/>
      <x:c r="L15" s="14" t="str">
        <x:v>ボードメーカー別の品質・保証・電源・寸法は未評価</x:v>
      </x:c>
      <x:c r="M15" s="14" t="str">
        <x:v>PassMark値は2026-07-15確認時点。販売商品への自動承認には使用せず、個別ボードSKUを別途登録してください。</x:v>
      </x:c>
      <x:c r="N15" s="12" t="str">
        <x:v>RDNA 2</x:v>
      </x:c>
      <x:c r="O15" s="12" t="str">
        <x:v>Radeon RX 6000 Series</x:v>
      </x:c>
      <x:c r="P15" s="102" t="n">
        <x:v>44153</x:v>
      </x:c>
      <x:c r="Q15" s="12" t="str">
        <x:v>2020-11-18</x:v>
      </x:c>
      <x:c r="R15" s="12" t="str">
        <x:v>exact</x:v>
      </x:c>
      <x:c r="S15" s="104" t="n">
        <x:v>16</x:v>
      </x:c>
      <x:c r="T15" s="12" t="str">
        <x:v>GDDR6</x:v>
      </x:c>
      <x:c r="U15" s="105" t="n">
        <x:v>256</x:v>
      </x:c>
      <x:c r="V15" s="105" t="n">
        <x:v>25067</x:v>
      </x:c>
      <x:c r="W15" s="105" t="n">
        <x:v>1045</x:v>
      </x:c>
      <x:c r="X15" s="105" t="n">
        <x:v>300</x:v>
      </x:c>
      <x:c r="Y15" s="102" t="n">
        <x:v>46218</x:v>
      </x:c>
      <x:c r="Z15" s="164" t="n">
        <x:f>IF(A15="","",ROUND(V15/INDEX($V$5:$V$87,MATCH($AA$3,$A$5:$A$87,0))*100,1))</x:f>
        <x:v>128.6</x:v>
      </x:c>
      <x:c r="AA15" s="166" t="n">
        <x:f>IF(V15="","",COUNTIF($V$5:$V$87,"&gt;"&amp;V15)+1)</x:f>
        <x:v>23</x:v>
      </x:c>
      <x:c r="AB15" s="162" t="str">
        <x:f>IF(Z15="","",IF(Z15&gt;='Lists'!$AL$9,'Lists'!$AK$9,IF(Z15&gt;='Lists'!$AL$8,'Lists'!$AK$8,IF(Z15&gt;='Lists'!$AL$7,'Lists'!$AK$7,IF(Z15&gt;='Lists'!$AL$6,'Lists'!$AK$6,'Lists'!$AK$5)))))</x:f>
        <x:v>ミドルレンジ</x:v>
      </x:c>
      <x:c r="AC15" s="164" t="n">
        <x:f>IF(OR(V15="",X15="",X15=0),"",ROUND(V15/X15,1))</x:f>
        <x:v>83.6</x:v>
      </x:c>
    </x:row>
    <x:row r="16" ht="38" customHeight="1">
      <x:c r="A16" s="12" t="str">
        <x:v>amd-radeon-rx-6900-xt</x:v>
      </x:c>
      <x:c r="B16" s="12" t="str">
        <x:v>AMD</x:v>
      </x:c>
      <x:c r="C16" s="12" t="str">
        <x:v>Radeon RX 6900 XT</x:v>
      </x:c>
      <x:c r="D16" s="12" t="str">
        <x:v>AMD Radeon RX 6900 XT</x:v>
      </x:c>
      <x:c r="E16" s="12" t="str">
        <x:v>Radeon RX 6900 XT</x:v>
      </x:c>
      <x:c r="F16" s="12" t="str">
        <x:v>research_required</x:v>
      </x:c>
      <x:c r="G16" s="12" t="str">
        <x:v>unrated</x:v>
      </x:c>
      <x:c r="H16" s="102" t="n">
        <x:v>46218</x:v>
      </x:c>
      <x:c r="I16" s="14" t="str">
        <x:v>GPUチップ性能比較用の基準レコード。実製品の冷却・騒音・寸法・保証はGPUシートのボードSKUで別評価します。</x:v>
      </x:c>
      <x:c r="J16" s="14"/>
      <x:c r="K16" s="14"/>
      <x:c r="L16" s="14" t="str">
        <x:v>ボードメーカー別の品質・保証・電源・寸法は未評価</x:v>
      </x:c>
      <x:c r="M16" s="14" t="str">
        <x:v>PassMark値は2026-07-15確認時点。販売商品への自動承認には使用せず、個別ボードSKUを別途登録してください。</x:v>
      </x:c>
      <x:c r="N16" s="12" t="str">
        <x:v>RDNA 2</x:v>
      </x:c>
      <x:c r="O16" s="12" t="str">
        <x:v>Radeon RX 6000 Series</x:v>
      </x:c>
      <x:c r="P16" s="102" t="n">
        <x:v>44173</x:v>
      </x:c>
      <x:c r="Q16" s="12" t="str">
        <x:v>2020-12-08</x:v>
      </x:c>
      <x:c r="R16" s="12" t="str">
        <x:v>exact</x:v>
      </x:c>
      <x:c r="S16" s="104" t="n">
        <x:v>16</x:v>
      </x:c>
      <x:c r="T16" s="12" t="str">
        <x:v>GDDR6</x:v>
      </x:c>
      <x:c r="U16" s="105" t="n">
        <x:v>256</x:v>
      </x:c>
      <x:c r="V16" s="105" t="n">
        <x:v>26646</x:v>
      </x:c>
      <x:c r="W16" s="105" t="n">
        <x:v>1063</x:v>
      </x:c>
      <x:c r="X16" s="105" t="n">
        <x:v>300</x:v>
      </x:c>
      <x:c r="Y16" s="102" t="n">
        <x:v>46218</x:v>
      </x:c>
      <x:c r="Z16" s="165" t="n">
        <x:f>IF(A16="","",ROUND(V16/INDEX($V$5:$V$87,MATCH($AA$3,$A$5:$A$87,0))*100,1))</x:f>
        <x:v>136.7</x:v>
      </x:c>
      <x:c r="AA16" s="167" t="n">
        <x:f>IF(V16="","",COUNTIF($V$5:$V$87,"&gt;"&amp;V16)+1)</x:f>
        <x:v>19</x:v>
      </x:c>
      <x:c r="AB16" s="163" t="str">
        <x:f>IF(Z16="","",IF(Z16&gt;='Lists'!$AL$9,'Lists'!$AK$9,IF(Z16&gt;='Lists'!$AL$8,'Lists'!$AK$8,IF(Z16&gt;='Lists'!$AL$7,'Lists'!$AK$7,IF(Z16&gt;='Lists'!$AL$6,'Lists'!$AK$6,'Lists'!$AK$5)))))</x:f>
        <x:v>ミドルレンジ</x:v>
      </x:c>
      <x:c r="AC16" s="165" t="n">
        <x:f>IF(OR(V16="",X16="",X16=0),"",ROUND(V16/X16,1))</x:f>
        <x:v>88.8</x:v>
      </x:c>
    </x:row>
    <x:row r="17" ht="38" customHeight="1">
      <x:c r="A17" s="12" t="str">
        <x:v>amd-radeon-rx-6950-xt</x:v>
      </x:c>
      <x:c r="B17" s="12" t="str">
        <x:v>AMD</x:v>
      </x:c>
      <x:c r="C17" s="12" t="str">
        <x:v>Radeon RX 6950 XT</x:v>
      </x:c>
      <x:c r="D17" s="12" t="str">
        <x:v>AMD Radeon RX 6950 XT</x:v>
      </x:c>
      <x:c r="E17" s="12" t="str">
        <x:v>Radeon RX 6950 XT</x:v>
      </x:c>
      <x:c r="F17" s="12" t="str">
        <x:v>research_required</x:v>
      </x:c>
      <x:c r="G17" s="12" t="str">
        <x:v>unrated</x:v>
      </x:c>
      <x:c r="H17" s="102" t="n">
        <x:v>46218</x:v>
      </x:c>
      <x:c r="I17" s="14" t="str">
        <x:v>GPUチップ性能比較用の基準レコード。実製品の冷却・騒音・寸法・保証はGPUシートのボードSKUで別評価します。</x:v>
      </x:c>
      <x:c r="J17" s="14"/>
      <x:c r="K17" s="14"/>
      <x:c r="L17" s="14" t="str">
        <x:v>ボードメーカー別の品質・保証・電源・寸法は未評価</x:v>
      </x:c>
      <x:c r="M17" s="14" t="str">
        <x:v>PassMark値は2026-07-15確認時点。販売商品への自動承認には使用せず、個別ボードSKUを別途登録してください。</x:v>
      </x:c>
      <x:c r="N17" s="12" t="str">
        <x:v>RDNA 2</x:v>
      </x:c>
      <x:c r="O17" s="12" t="str">
        <x:v>Radeon RX 6000 Series</x:v>
      </x:c>
      <x:c r="P17" s="102" t="n">
        <x:v>44691</x:v>
      </x:c>
      <x:c r="Q17" s="12" t="str">
        <x:v>2022-05-10</x:v>
      </x:c>
      <x:c r="R17" s="12" t="str">
        <x:v>exact</x:v>
      </x:c>
      <x:c r="S17" s="104" t="n">
        <x:v>16</x:v>
      </x:c>
      <x:c r="T17" s="12" t="str">
        <x:v>GDDR6</x:v>
      </x:c>
      <x:c r="U17" s="105" t="n">
        <x:v>256</x:v>
      </x:c>
      <x:c r="V17" s="105" t="n">
        <x:v>28076</x:v>
      </x:c>
      <x:c r="W17" s="105" t="n">
        <x:v>1081</x:v>
      </x:c>
      <x:c r="X17" s="105" t="n">
        <x:v>335</x:v>
      </x:c>
      <x:c r="Y17" s="102" t="n">
        <x:v>46218</x:v>
      </x:c>
      <x:c r="Z17" s="164" t="n">
        <x:f>IF(A17="","",ROUND(V17/INDEX($V$5:$V$87,MATCH($AA$3,$A$5:$A$87,0))*100,1))</x:f>
        <x:v>144</x:v>
      </x:c>
      <x:c r="AA17" s="166" t="n">
        <x:f>IF(V17="","",COUNTIF($V$5:$V$87,"&gt;"&amp;V17)+1)</x:f>
        <x:v>14</x:v>
      </x:c>
      <x:c r="AB17" s="162" t="str">
        <x:f>IF(Z17="","",IF(Z17&gt;='Lists'!$AL$9,'Lists'!$AK$9,IF(Z17&gt;='Lists'!$AL$8,'Lists'!$AK$8,IF(Z17&gt;='Lists'!$AL$7,'Lists'!$AK$7,IF(Z17&gt;='Lists'!$AL$6,'Lists'!$AK$6,'Lists'!$AK$5)))))</x:f>
        <x:v>ハイエンド</x:v>
      </x:c>
      <x:c r="AC17" s="164" t="n">
        <x:f>IF(OR(V17="",X17="",X17=0),"",ROUND(V17/X17,1))</x:f>
        <x:v>83.8</x:v>
      </x:c>
    </x:row>
    <x:row r="18" ht="38" customHeight="1">
      <x:c r="A18" s="12" t="str">
        <x:v>amd-radeon-rx-7600</x:v>
      </x:c>
      <x:c r="B18" s="12" t="str">
        <x:v>AMD</x:v>
      </x:c>
      <x:c r="C18" s="12" t="str">
        <x:v>Radeon RX 7600</x:v>
      </x:c>
      <x:c r="D18" s="12" t="str">
        <x:v>AMD Radeon RX 7600</x:v>
      </x:c>
      <x:c r="E18" s="12" t="str">
        <x:v>Radeon RX 7600</x:v>
      </x:c>
      <x:c r="F18" s="12" t="str">
        <x:v>research_required</x:v>
      </x:c>
      <x:c r="G18" s="12" t="str">
        <x:v>unrated</x:v>
      </x:c>
      <x:c r="H18" s="102" t="n">
        <x:v>46218</x:v>
      </x:c>
      <x:c r="I18" s="14" t="str">
        <x:v>GPUチップ性能比較用の基準レコード。実製品の冷却・騒音・寸法・保証はGPUシートのボードSKUで別評価します。</x:v>
      </x:c>
      <x:c r="J18" s="14"/>
      <x:c r="K18" s="14"/>
      <x:c r="L18" s="14" t="str">
        <x:v>ボードメーカー別の品質・保証・電源・寸法は未評価</x:v>
      </x:c>
      <x:c r="M18" s="14" t="str">
        <x:v>PassMark値は2026-07-15確認時点。販売商品への自動承認には使用せず、個別ボードSKUを別途登録してください。</x:v>
      </x:c>
      <x:c r="N18" s="12" t="str">
        <x:v>RDNA 3</x:v>
      </x:c>
      <x:c r="O18" s="12" t="str">
        <x:v>Radeon RX 7000 Series</x:v>
      </x:c>
      <x:c r="P18" s="102" t="n">
        <x:v>45071</x:v>
      </x:c>
      <x:c r="Q18" s="12" t="str">
        <x:v>2023-05-25</x:v>
      </x:c>
      <x:c r="R18" s="12" t="str">
        <x:v>exact</x:v>
      </x:c>
      <x:c r="S18" s="104" t="n">
        <x:v>8</x:v>
      </x:c>
      <x:c r="T18" s="12" t="str">
        <x:v>GDDR6</x:v>
      </x:c>
      <x:c r="U18" s="105" t="n">
        <x:v>128</x:v>
      </x:c>
      <x:c r="V18" s="105" t="n">
        <x:v>16463</x:v>
      </x:c>
      <x:c r="W18" s="105" t="n">
        <x:v>981</x:v>
      </x:c>
      <x:c r="X18" s="105" t="n">
        <x:v>165</x:v>
      </x:c>
      <x:c r="Y18" s="102" t="n">
        <x:v>46218</x:v>
      </x:c>
      <x:c r="Z18" s="165" t="n">
        <x:f>IF(A18="","",ROUND(V18/INDEX($V$5:$V$87,MATCH($AA$3,$A$5:$A$87,0))*100,1))</x:f>
        <x:v>84.5</x:v>
      </x:c>
      <x:c r="AA18" s="167" t="n">
        <x:f>IF(V18="","",COUNTIF($V$5:$V$87,"&gt;"&amp;V18)+1)</x:f>
        <x:v>53</x:v>
      </x:c>
      <x:c r="AB18" s="163" t="str">
        <x:f>IF(Z18="","",IF(Z18&gt;='Lists'!$AL$9,'Lists'!$AK$9,IF(Z18&gt;='Lists'!$AL$8,'Lists'!$AK$8,IF(Z18&gt;='Lists'!$AL$7,'Lists'!$AK$7,IF(Z18&gt;='Lists'!$AL$6,'Lists'!$AK$6,'Lists'!$AK$5)))))</x:f>
        <x:v>メインストリーム</x:v>
      </x:c>
      <x:c r="AC18" s="165" t="n">
        <x:f>IF(OR(V18="",X18="",X18=0),"",ROUND(V18/X18,1))</x:f>
        <x:v>99.8</x:v>
      </x:c>
    </x:row>
    <x:row r="19" ht="38" customHeight="1">
      <x:c r="A19" s="12" t="str">
        <x:v>amd-radeon-rx-7600-xt</x:v>
      </x:c>
      <x:c r="B19" s="12" t="str">
        <x:v>AMD</x:v>
      </x:c>
      <x:c r="C19" s="12" t="str">
        <x:v>Radeon RX 7600 XT</x:v>
      </x:c>
      <x:c r="D19" s="12" t="str">
        <x:v>AMD Radeon RX 7600 XT</x:v>
      </x:c>
      <x:c r="E19" s="12" t="str">
        <x:v>Radeon RX 7600 XT</x:v>
      </x:c>
      <x:c r="F19" s="12" t="str">
        <x:v>research_required</x:v>
      </x:c>
      <x:c r="G19" s="12" t="str">
        <x:v>unrated</x:v>
      </x:c>
      <x:c r="H19" s="102" t="n">
        <x:v>46218</x:v>
      </x:c>
      <x:c r="I19" s="14" t="str">
        <x:v>GPUチップ性能比較用の基準レコード。実製品の冷却・騒音・寸法・保証はGPUシートのボードSKUで別評価します。</x:v>
      </x:c>
      <x:c r="J19" s="14"/>
      <x:c r="K19" s="14"/>
      <x:c r="L19" s="14" t="str">
        <x:v>ボードメーカー別の品質・保証・電源・寸法は未評価</x:v>
      </x:c>
      <x:c r="M19" s="14" t="str">
        <x:v>PassMark値は2026-07-15確認時点。販売商品への自動承認には使用せず、個別ボードSKUを別途登録してください。</x:v>
      </x:c>
      <x:c r="N19" s="12" t="str">
        <x:v>RDNA 3</x:v>
      </x:c>
      <x:c r="O19" s="12" t="str">
        <x:v>Radeon RX 7000 Series</x:v>
      </x:c>
      <x:c r="P19" s="102" t="n">
        <x:v>45315</x:v>
      </x:c>
      <x:c r="Q19" s="12" t="str">
        <x:v>2024-01-24</x:v>
      </x:c>
      <x:c r="R19" s="12" t="str">
        <x:v>exact</x:v>
      </x:c>
      <x:c r="S19" s="104" t="n">
        <x:v>16</x:v>
      </x:c>
      <x:c r="T19" s="12" t="str">
        <x:v>GDDR6</x:v>
      </x:c>
      <x:c r="U19" s="105" t="n">
        <x:v>128</x:v>
      </x:c>
      <x:c r="V19" s="105" t="n">
        <x:v>17329</x:v>
      </x:c>
      <x:c r="W19" s="105" t="n">
        <x:v>1027</x:v>
      </x:c>
      <x:c r="X19" s="105" t="n">
        <x:v>190</x:v>
      </x:c>
      <x:c r="Y19" s="102" t="n">
        <x:v>46218</x:v>
      </x:c>
      <x:c r="Z19" s="164" t="n">
        <x:f>IF(A19="","",ROUND(V19/INDEX($V$5:$V$87,MATCH($AA$3,$A$5:$A$87,0))*100,1))</x:f>
        <x:v>88.9</x:v>
      </x:c>
      <x:c r="AA19" s="166" t="n">
        <x:f>IF(V19="","",COUNTIF($V$5:$V$87,"&gt;"&amp;V19)+1)</x:f>
        <x:v>48</x:v>
      </x:c>
      <x:c r="AB19" s="162" t="str">
        <x:f>IF(Z19="","",IF(Z19&gt;='Lists'!$AL$9,'Lists'!$AK$9,IF(Z19&gt;='Lists'!$AL$8,'Lists'!$AK$8,IF(Z19&gt;='Lists'!$AL$7,'Lists'!$AK$7,IF(Z19&gt;='Lists'!$AL$6,'Lists'!$AK$6,'Lists'!$AK$5)))))</x:f>
        <x:v>メインストリーム</x:v>
      </x:c>
      <x:c r="AC19" s="164" t="n">
        <x:f>IF(OR(V19="",X19="",X19=0),"",ROUND(V19/X19,1))</x:f>
        <x:v>91.2</x:v>
      </x:c>
    </x:row>
    <x:row r="20" ht="38" customHeight="1">
      <x:c r="A20" s="12" t="str">
        <x:v>amd-radeon-rx-7700-xt</x:v>
      </x:c>
      <x:c r="B20" s="12" t="str">
        <x:v>AMD</x:v>
      </x:c>
      <x:c r="C20" s="12" t="str">
        <x:v>Radeon RX 7700 XT</x:v>
      </x:c>
      <x:c r="D20" s="12" t="str">
        <x:v>AMD Radeon RX 7700 XT</x:v>
      </x:c>
      <x:c r="E20" s="12" t="str">
        <x:v>Radeon RX 7700 XT</x:v>
      </x:c>
      <x:c r="F20" s="12" t="str">
        <x:v>research_required</x:v>
      </x:c>
      <x:c r="G20" s="12" t="str">
        <x:v>unrated</x:v>
      </x:c>
      <x:c r="H20" s="102" t="n">
        <x:v>46218</x:v>
      </x:c>
      <x:c r="I20" s="14" t="str">
        <x:v>GPUチップ性能比較用の基準レコード。実製品の冷却・騒音・寸法・保証はGPUシートのボードSKUで別評価します。</x:v>
      </x:c>
      <x:c r="J20" s="14"/>
      <x:c r="K20" s="14"/>
      <x:c r="L20" s="14" t="str">
        <x:v>ボードメーカー別の品質・保証・電源・寸法は未評価</x:v>
      </x:c>
      <x:c r="M20" s="14" t="str">
        <x:v>PassMark値は2026-07-15確認時点。販売商品への自動承認には使用せず、個別ボードSKUを別途登録してください。</x:v>
      </x:c>
      <x:c r="N20" s="12" t="str">
        <x:v>RDNA 3</x:v>
      </x:c>
      <x:c r="O20" s="12" t="str">
        <x:v>Radeon RX 7000 Series</x:v>
      </x:c>
      <x:c r="P20" s="102" t="n">
        <x:v>45175</x:v>
      </x:c>
      <x:c r="Q20" s="12" t="str">
        <x:v>2023-09-06</x:v>
      </x:c>
      <x:c r="R20" s="12" t="str">
        <x:v>exact</x:v>
      </x:c>
      <x:c r="S20" s="104" t="n">
        <x:v>12</x:v>
      </x:c>
      <x:c r="T20" s="12" t="str">
        <x:v>GDDR6</x:v>
      </x:c>
      <x:c r="U20" s="105" t="n">
        <x:v>192</x:v>
      </x:c>
      <x:c r="V20" s="105" t="n">
        <x:v>22692</x:v>
      </x:c>
      <x:c r="W20" s="105" t="n">
        <x:v>1158</x:v>
      </x:c>
      <x:c r="X20" s="105" t="n">
        <x:v>245</x:v>
      </x:c>
      <x:c r="Y20" s="102" t="n">
        <x:v>46218</x:v>
      </x:c>
      <x:c r="Z20" s="165" t="n">
        <x:f>IF(A20="","",ROUND(V20/INDEX($V$5:$V$87,MATCH($AA$3,$A$5:$A$87,0))*100,1))</x:f>
        <x:v>116.4</x:v>
      </x:c>
      <x:c r="AA20" s="167" t="n">
        <x:f>IF(V20="","",COUNTIF($V$5:$V$87,"&gt;"&amp;V20)+1)</x:f>
        <x:v>28</x:v>
      </x:c>
      <x:c r="AB20" s="163" t="str">
        <x:f>IF(Z20="","",IF(Z20&gt;='Lists'!$AL$9,'Lists'!$AK$9,IF(Z20&gt;='Lists'!$AL$8,'Lists'!$AK$8,IF(Z20&gt;='Lists'!$AL$7,'Lists'!$AK$7,IF(Z20&gt;='Lists'!$AL$6,'Lists'!$AK$6,'Lists'!$AK$5)))))</x:f>
        <x:v>ミドルレンジ</x:v>
      </x:c>
      <x:c r="AC20" s="165" t="n">
        <x:f>IF(OR(V20="",X20="",X20=0),"",ROUND(V20/X20,1))</x:f>
        <x:v>92.6</x:v>
      </x:c>
    </x:row>
    <x:row r="21" ht="38" customHeight="1">
      <x:c r="A21" s="12" t="str">
        <x:v>amd-radeon-rx-7800-xt</x:v>
      </x:c>
      <x:c r="B21" s="12" t="str">
        <x:v>AMD</x:v>
      </x:c>
      <x:c r="C21" s="12" t="str">
        <x:v>Radeon RX 7800 XT</x:v>
      </x:c>
      <x:c r="D21" s="12" t="str">
        <x:v>AMD Radeon RX 7800 XT</x:v>
      </x:c>
      <x:c r="E21" s="12" t="str">
        <x:v>Radeon RX 7800 XT</x:v>
      </x:c>
      <x:c r="F21" s="12" t="str">
        <x:v>research_required</x:v>
      </x:c>
      <x:c r="G21" s="12" t="str">
        <x:v>unrated</x:v>
      </x:c>
      <x:c r="H21" s="102" t="n">
        <x:v>46218</x:v>
      </x:c>
      <x:c r="I21" s="14" t="str">
        <x:v>GPUチップ性能比較用の基準レコード。実製品の冷却・騒音・寸法・保証はGPUシートのボードSKUで別評価します。</x:v>
      </x:c>
      <x:c r="J21" s="14"/>
      <x:c r="K21" s="14"/>
      <x:c r="L21" s="14" t="str">
        <x:v>ボードメーカー別の品質・保証・電源・寸法は未評価</x:v>
      </x:c>
      <x:c r="M21" s="14" t="str">
        <x:v>PassMark値は2026-07-15確認時点。販売商品への自動承認には使用せず、個別ボードSKUを別途登録してください。</x:v>
      </x:c>
      <x:c r="N21" s="12" t="str">
        <x:v>RDNA 3</x:v>
      </x:c>
      <x:c r="O21" s="12" t="str">
        <x:v>Radeon RX 7000 Series</x:v>
      </x:c>
      <x:c r="P21" s="102" t="n">
        <x:v>45175</x:v>
      </x:c>
      <x:c r="Q21" s="12" t="str">
        <x:v>2023-09-06</x:v>
      </x:c>
      <x:c r="R21" s="12" t="str">
        <x:v>exact</x:v>
      </x:c>
      <x:c r="S21" s="104" t="n">
        <x:v>16</x:v>
      </x:c>
      <x:c r="T21" s="12" t="str">
        <x:v>GDDR6</x:v>
      </x:c>
      <x:c r="U21" s="105" t="n">
        <x:v>256</x:v>
      </x:c>
      <x:c r="V21" s="105" t="n">
        <x:v>24405</x:v>
      </x:c>
      <x:c r="W21" s="105" t="n">
        <x:v>1192</x:v>
      </x:c>
      <x:c r="X21" s="105" t="n">
        <x:v>263</x:v>
      </x:c>
      <x:c r="Y21" s="102" t="n">
        <x:v>46218</x:v>
      </x:c>
      <x:c r="Z21" s="164" t="n">
        <x:f>IF(A21="","",ROUND(V21/INDEX($V$5:$V$87,MATCH($AA$3,$A$5:$A$87,0))*100,1))</x:f>
        <x:v>125.2</x:v>
      </x:c>
      <x:c r="AA21" s="166" t="n">
        <x:f>IF(V21="","",COUNTIF($V$5:$V$87,"&gt;"&amp;V21)+1)</x:f>
        <x:v>25</x:v>
      </x:c>
      <x:c r="AB21" s="162" t="str">
        <x:f>IF(Z21="","",IF(Z21&gt;='Lists'!$AL$9,'Lists'!$AK$9,IF(Z21&gt;='Lists'!$AL$8,'Lists'!$AK$8,IF(Z21&gt;='Lists'!$AL$7,'Lists'!$AK$7,IF(Z21&gt;='Lists'!$AL$6,'Lists'!$AK$6,'Lists'!$AK$5)))))</x:f>
        <x:v>ミドルレンジ</x:v>
      </x:c>
      <x:c r="AC21" s="164" t="n">
        <x:f>IF(OR(V21="",X21="",X21=0),"",ROUND(V21/X21,1))</x:f>
        <x:v>92.8</x:v>
      </x:c>
    </x:row>
    <x:row r="22" ht="38" customHeight="1">
      <x:c r="A22" s="12" t="str">
        <x:v>amd-radeon-rx-7900-gre</x:v>
      </x:c>
      <x:c r="B22" s="12" t="str">
        <x:v>AMD</x:v>
      </x:c>
      <x:c r="C22" s="12" t="str">
        <x:v>Radeon RX 7900 GRE</x:v>
      </x:c>
      <x:c r="D22" s="12" t="str">
        <x:v>AMD Radeon RX 7900 GRE</x:v>
      </x:c>
      <x:c r="E22" s="12" t="str">
        <x:v>Radeon RX 7900 GRE</x:v>
      </x:c>
      <x:c r="F22" s="12" t="str">
        <x:v>research_required</x:v>
      </x:c>
      <x:c r="G22" s="12" t="str">
        <x:v>unrated</x:v>
      </x:c>
      <x:c r="H22" s="102" t="n">
        <x:v>46218</x:v>
      </x:c>
      <x:c r="I22" s="14" t="str">
        <x:v>GPUチップ性能比較用の基準レコード。実製品の冷却・騒音・寸法・保証はGPUシートのボードSKUで別評価します。</x:v>
      </x:c>
      <x:c r="J22" s="14"/>
      <x:c r="K22" s="14"/>
      <x:c r="L22" s="14" t="str">
        <x:v>ボードメーカー別の品質・保証・電源・寸法は未評価</x:v>
      </x:c>
      <x:c r="M22" s="14" t="str">
        <x:v>PassMark値は2026-07-15確認時点。販売商品への自動承認には使用せず、個別ボードSKUを別途登録してください。</x:v>
      </x:c>
      <x:c r="N22" s="12" t="str">
        <x:v>RDNA 3</x:v>
      </x:c>
      <x:c r="O22" s="12" t="str">
        <x:v>Radeon RX 7000 Series</x:v>
      </x:c>
      <x:c r="P22" s="102" t="n">
        <x:v>45349</x:v>
      </x:c>
      <x:c r="Q22" s="12" t="str">
        <x:v>2024-02-27</x:v>
      </x:c>
      <x:c r="R22" s="12" t="str">
        <x:v>exact</x:v>
      </x:c>
      <x:c r="S22" s="104" t="n">
        <x:v>16</x:v>
      </x:c>
      <x:c r="T22" s="12" t="str">
        <x:v>GDDR6</x:v>
      </x:c>
      <x:c r="U22" s="105" t="n">
        <x:v>256</x:v>
      </x:c>
      <x:c r="V22" s="105" t="n">
        <x:v>27457</x:v>
      </x:c>
      <x:c r="W22" s="105" t="n">
        <x:v>1209</x:v>
      </x:c>
      <x:c r="X22" s="105" t="n">
        <x:v>260</x:v>
      </x:c>
      <x:c r="Y22" s="102" t="n">
        <x:v>46218</x:v>
      </x:c>
      <x:c r="Z22" s="165" t="n">
        <x:f>IF(A22="","",ROUND(V22/INDEX($V$5:$V$87,MATCH($AA$3,$A$5:$A$87,0))*100,1))</x:f>
        <x:v>140.8</x:v>
      </x:c>
      <x:c r="AA22" s="167" t="n">
        <x:f>IF(V22="","",COUNTIF($V$5:$V$87,"&gt;"&amp;V22)+1)</x:f>
        <x:v>15</x:v>
      </x:c>
      <x:c r="AB22" s="163" t="str">
        <x:f>IF(Z22="","",IF(Z22&gt;='Lists'!$AL$9,'Lists'!$AK$9,IF(Z22&gt;='Lists'!$AL$8,'Lists'!$AK$8,IF(Z22&gt;='Lists'!$AL$7,'Lists'!$AK$7,IF(Z22&gt;='Lists'!$AL$6,'Lists'!$AK$6,'Lists'!$AK$5)))))</x:f>
        <x:v>ハイエンド</x:v>
      </x:c>
      <x:c r="AC22" s="165" t="n">
        <x:f>IF(OR(V22="",X22="",X22=0),"",ROUND(V22/X22,1))</x:f>
        <x:v>105.6</x:v>
      </x:c>
    </x:row>
    <x:row r="23" ht="38" customHeight="1">
      <x:c r="A23" s="12" t="str">
        <x:v>amd-radeon-rx-7900-xt</x:v>
      </x:c>
      <x:c r="B23" s="12" t="str">
        <x:v>AMD</x:v>
      </x:c>
      <x:c r="C23" s="12" t="str">
        <x:v>Radeon RX 7900 XT</x:v>
      </x:c>
      <x:c r="D23" s="12" t="str">
        <x:v>AMD Radeon RX 7900 XT</x:v>
      </x:c>
      <x:c r="E23" s="12" t="str">
        <x:v>Radeon RX 7900 XT</x:v>
      </x:c>
      <x:c r="F23" s="12" t="str">
        <x:v>research_required</x:v>
      </x:c>
      <x:c r="G23" s="12" t="str">
        <x:v>unrated</x:v>
      </x:c>
      <x:c r="H23" s="102" t="n">
        <x:v>46218</x:v>
      </x:c>
      <x:c r="I23" s="14" t="str">
        <x:v>GPUチップ性能比較用の基準レコード。実製品の冷却・騒音・寸法・保証はGPUシートのボードSKUで別評価します。</x:v>
      </x:c>
      <x:c r="J23" s="14"/>
      <x:c r="K23" s="14"/>
      <x:c r="L23" s="14" t="str">
        <x:v>ボードメーカー別の品質・保証・電源・寸法は未評価</x:v>
      </x:c>
      <x:c r="M23" s="14" t="str">
        <x:v>PassMark値は2026-07-15確認時点。販売商品への自動承認には使用せず、個別ボードSKUを別途登録してください。</x:v>
      </x:c>
      <x:c r="N23" s="12" t="str">
        <x:v>RDNA 3</x:v>
      </x:c>
      <x:c r="O23" s="12" t="str">
        <x:v>Radeon RX 7000 Series</x:v>
      </x:c>
      <x:c r="P23" s="102" t="n">
        <x:v>44908</x:v>
      </x:c>
      <x:c r="Q23" s="12" t="str">
        <x:v>2022-12-13</x:v>
      </x:c>
      <x:c r="R23" s="12" t="str">
        <x:v>exact</x:v>
      </x:c>
      <x:c r="S23" s="104" t="n">
        <x:v>20</x:v>
      </x:c>
      <x:c r="T23" s="12" t="str">
        <x:v>GDDR6</x:v>
      </x:c>
      <x:c r="U23" s="105" t="n">
        <x:v>320</x:v>
      </x:c>
      <x:c r="V23" s="105" t="n">
        <x:v>29068</x:v>
      </x:c>
      <x:c r="W23" s="105" t="n">
        <x:v>1245</x:v>
      </x:c>
      <x:c r="X23" s="105" t="n">
        <x:v>315</x:v>
      </x:c>
      <x:c r="Y23" s="102" t="n">
        <x:v>46218</x:v>
      </x:c>
      <x:c r="Z23" s="164" t="n">
        <x:f>IF(A23="","",ROUND(V23/INDEX($V$5:$V$87,MATCH($AA$3,$A$5:$A$87,0))*100,1))</x:f>
        <x:v>149.1</x:v>
      </x:c>
      <x:c r="AA23" s="166" t="n">
        <x:f>IF(V23="","",COUNTIF($V$5:$V$87,"&gt;"&amp;V23)+1)</x:f>
        <x:v>12</x:v>
      </x:c>
      <x:c r="AB23" s="162" t="str">
        <x:f>IF(Z23="","",IF(Z23&gt;='Lists'!$AL$9,'Lists'!$AK$9,IF(Z23&gt;='Lists'!$AL$8,'Lists'!$AK$8,IF(Z23&gt;='Lists'!$AL$7,'Lists'!$AK$7,IF(Z23&gt;='Lists'!$AL$6,'Lists'!$AK$6,'Lists'!$AK$5)))))</x:f>
        <x:v>ハイエンド</x:v>
      </x:c>
      <x:c r="AC23" s="164" t="n">
        <x:f>IF(OR(V23="",X23="",X23=0),"",ROUND(V23/X23,1))</x:f>
        <x:v>92.3</x:v>
      </x:c>
    </x:row>
    <x:row r="24" ht="38" customHeight="1">
      <x:c r="A24" s="12" t="str">
        <x:v>amd-radeon-rx-7900-xtx</x:v>
      </x:c>
      <x:c r="B24" s="12" t="str">
        <x:v>AMD</x:v>
      </x:c>
      <x:c r="C24" s="12" t="str">
        <x:v>Radeon RX 7900 XTX</x:v>
      </x:c>
      <x:c r="D24" s="12" t="str">
        <x:v>AMD Radeon RX 7900 XTX</x:v>
      </x:c>
      <x:c r="E24" s="12" t="str">
        <x:v>Radeon RX 7900 XTX</x:v>
      </x:c>
      <x:c r="F24" s="12" t="str">
        <x:v>research_required</x:v>
      </x:c>
      <x:c r="G24" s="12" t="str">
        <x:v>unrated</x:v>
      </x:c>
      <x:c r="H24" s="102" t="n">
        <x:v>46218</x:v>
      </x:c>
      <x:c r="I24" s="14" t="str">
        <x:v>GPUチップ性能比較用の基準レコード。実製品の冷却・騒音・寸法・保証はGPUシートのボードSKUで別評価します。</x:v>
      </x:c>
      <x:c r="J24" s="14"/>
      <x:c r="K24" s="14"/>
      <x:c r="L24" s="14" t="str">
        <x:v>ボードメーカー別の品質・保証・電源・寸法は未評価</x:v>
      </x:c>
      <x:c r="M24" s="14" t="str">
        <x:v>PassMark値は2026-07-15確認時点。販売商品への自動承認には使用せず、個別ボードSKUを別途登録してください。</x:v>
      </x:c>
      <x:c r="N24" s="12" t="str">
        <x:v>RDNA 3</x:v>
      </x:c>
      <x:c r="O24" s="12" t="str">
        <x:v>Radeon RX 7000 Series</x:v>
      </x:c>
      <x:c r="P24" s="102" t="n">
        <x:v>44908</x:v>
      </x:c>
      <x:c r="Q24" s="12" t="str">
        <x:v>2022-12-13</x:v>
      </x:c>
      <x:c r="R24" s="12" t="str">
        <x:v>exact</x:v>
      </x:c>
      <x:c r="S24" s="104" t="n">
        <x:v>24</x:v>
      </x:c>
      <x:c r="T24" s="12" t="str">
        <x:v>GDDR6</x:v>
      </x:c>
      <x:c r="U24" s="105" t="n">
        <x:v>384</x:v>
      </x:c>
      <x:c r="V24" s="105" t="n">
        <x:v>31430</x:v>
      </x:c>
      <x:c r="W24" s="105" t="n">
        <x:v>1288</x:v>
      </x:c>
      <x:c r="X24" s="105" t="n">
        <x:v>355</x:v>
      </x:c>
      <x:c r="Y24" s="102" t="n">
        <x:v>46218</x:v>
      </x:c>
      <x:c r="Z24" s="165" t="n">
        <x:f>IF(A24="","",ROUND(V24/INDEX($V$5:$V$87,MATCH($AA$3,$A$5:$A$87,0))*100,1))</x:f>
        <x:v>161.2</x:v>
      </x:c>
      <x:c r="AA24" s="167" t="n">
        <x:f>IF(V24="","",COUNTIF($V$5:$V$87,"&gt;"&amp;V24)+1)</x:f>
        <x:v>9</x:v>
      </x:c>
      <x:c r="AB24" s="163" t="str">
        <x:f>IF(Z24="","",IF(Z24&gt;='Lists'!$AL$9,'Lists'!$AK$9,IF(Z24&gt;='Lists'!$AL$8,'Lists'!$AK$8,IF(Z24&gt;='Lists'!$AL$7,'Lists'!$AK$7,IF(Z24&gt;='Lists'!$AL$6,'Lists'!$AK$6,'Lists'!$AK$5)))))</x:f>
        <x:v>ハイエンド</x:v>
      </x:c>
      <x:c r="AC24" s="165" t="n">
        <x:f>IF(OR(V24="",X24="",X24=0),"",ROUND(V24/X24,1))</x:f>
        <x:v>88.5</x:v>
      </x:c>
    </x:row>
    <x:row r="25" ht="38" customHeight="1">
      <x:c r="A25" s="12" t="str">
        <x:v>amd-radeon-rx-9060</x:v>
      </x:c>
      <x:c r="B25" s="12" t="str">
        <x:v>AMD</x:v>
      </x:c>
      <x:c r="C25" s="12" t="str">
        <x:v>Radeon RX 9060</x:v>
      </x:c>
      <x:c r="D25" s="12" t="str">
        <x:v>AMD Radeon RX 9060</x:v>
      </x:c>
      <x:c r="E25" s="12" t="str">
        <x:v>Radeon RX 9060</x:v>
      </x:c>
      <x:c r="F25" s="12" t="str">
        <x:v>research_required</x:v>
      </x:c>
      <x:c r="G25" s="12" t="str">
        <x:v>unrated</x:v>
      </x:c>
      <x:c r="H25" s="102" t="n">
        <x:v>46218</x:v>
      </x:c>
      <x:c r="I25" s="14" t="str">
        <x:v>GPUチップ性能比較用の基準レコード。実製品の冷却・騒音・寸法・保証はGPUシートのボードSKUで別評価します。</x:v>
      </x:c>
      <x:c r="J25" s="14"/>
      <x:c r="K25" s="14"/>
      <x:c r="L25" s="14" t="str">
        <x:v>ボードメーカー別の品質・保証・電源・寸法は未評価</x:v>
      </x:c>
      <x:c r="M25" s="14" t="str">
        <x:v>PassMark値は2026-07-15確認時点。販売商品への自動承認には使用せず、個別ボードSKUを別途登録してください。</x:v>
      </x:c>
      <x:c r="N25" s="12" t="str">
        <x:v>RDNA 4</x:v>
      </x:c>
      <x:c r="O25" s="12" t="str">
        <x:v>Radeon RX 9000 Series</x:v>
      </x:c>
      <x:c r="P25" s="102"/>
      <x:c r="Q25" s="12" t="str">
        <x:v>Q3'25</x:v>
      </x:c>
      <x:c r="R25" s="12" t="str">
        <x:v>quarter</x:v>
      </x:c>
      <x:c r="S25" s="104" t="n">
        <x:v>8</x:v>
      </x:c>
      <x:c r="T25" s="12" t="str">
        <x:v>GDDR6</x:v>
      </x:c>
      <x:c r="U25" s="105" t="n">
        <x:v>128</x:v>
      </x:c>
      <x:c r="V25" s="105" t="n">
        <x:v>17649</x:v>
      </x:c>
      <x:c r="W25" s="105" t="n">
        <x:v>999</x:v>
      </x:c>
      <x:c r="X25" s="105" t="n">
        <x:v>132</x:v>
      </x:c>
      <x:c r="Y25" s="102" t="n">
        <x:v>46218</x:v>
      </x:c>
      <x:c r="Z25" s="164" t="n">
        <x:f>IF(A25="","",ROUND(V25/INDEX($V$5:$V$87,MATCH($AA$3,$A$5:$A$87,0))*100,1))</x:f>
        <x:v>90.5</x:v>
      </x:c>
      <x:c r="AA25" s="166" t="n">
        <x:f>IF(V25="","",COUNTIF($V$5:$V$87,"&gt;"&amp;V25)+1)</x:f>
        <x:v>47</x:v>
      </x:c>
      <x:c r="AB25" s="162" t="str">
        <x:f>IF(Z25="","",IF(Z25&gt;='Lists'!$AL$9,'Lists'!$AK$9,IF(Z25&gt;='Lists'!$AL$8,'Lists'!$AK$8,IF(Z25&gt;='Lists'!$AL$7,'Lists'!$AK$7,IF(Z25&gt;='Lists'!$AL$6,'Lists'!$AK$6,'Lists'!$AK$5)))))</x:f>
        <x:v>メインストリーム</x:v>
      </x:c>
      <x:c r="AC25" s="164" t="n">
        <x:f>IF(OR(V25="",X25="",X25=0),"",ROUND(V25/X25,1))</x:f>
        <x:v>133.7</x:v>
      </x:c>
    </x:row>
    <x:row r="26" ht="38" customHeight="1">
      <x:c r="A26" s="12" t="str">
        <x:v>amd-radeon-rx-9060-xt-8gb</x:v>
      </x:c>
      <x:c r="B26" s="12" t="str">
        <x:v>AMD</x:v>
      </x:c>
      <x:c r="C26" s="12" t="str">
        <x:v>Radeon RX 9060 XT 8GB</x:v>
      </x:c>
      <x:c r="D26" s="12" t="str">
        <x:v>AMD Radeon RX 9060 XT 8GB</x:v>
      </x:c>
      <x:c r="E26" s="12" t="str">
        <x:v>Radeon RX 9060 XT 8GB</x:v>
      </x:c>
      <x:c r="F26" s="12" t="str">
        <x:v>research_required</x:v>
      </x:c>
      <x:c r="G26" s="12" t="str">
        <x:v>unrated</x:v>
      </x:c>
      <x:c r="H26" s="102" t="n">
        <x:v>46218</x:v>
      </x:c>
      <x:c r="I26" s="14" t="str">
        <x:v>GPUチップ性能比較用の基準レコード。実製品の冷却・騒音・寸法・保証はGPUシートのボードSKUで別評価します。</x:v>
      </x:c>
      <x:c r="J26" s="14"/>
      <x:c r="K26" s="14"/>
      <x:c r="L26" s="14" t="str">
        <x:v>ボードメーカー別の品質・保証・電源・寸法は未評価</x:v>
      </x:c>
      <x:c r="M26" s="14" t="str">
        <x:v>PassMark値は2026-07-15確認時点。販売商品への自動承認には使用せず、個別ボードSKUを別途登録してください。</x:v>
      </x:c>
      <x:c r="N26" s="12" t="str">
        <x:v>RDNA 4</x:v>
      </x:c>
      <x:c r="O26" s="12" t="str">
        <x:v>Radeon RX 9000 Series</x:v>
      </x:c>
      <x:c r="P26" s="102" t="n">
        <x:v>45813</x:v>
      </x:c>
      <x:c r="Q26" s="12" t="str">
        <x:v>2025-06-05</x:v>
      </x:c>
      <x:c r="R26" s="12" t="str">
        <x:v>exact</x:v>
      </x:c>
      <x:c r="S26" s="104" t="n">
        <x:v>8</x:v>
      </x:c>
      <x:c r="T26" s="12" t="str">
        <x:v>GDDR6</x:v>
      </x:c>
      <x:c r="U26" s="105" t="n">
        <x:v>128</x:v>
      </x:c>
      <x:c r="V26" s="105" t="n">
        <x:v>19761</x:v>
      </x:c>
      <x:c r="W26" s="105" t="n">
        <x:v>1125</x:v>
      </x:c>
      <x:c r="X26" s="105" t="n">
        <x:v>150</x:v>
      </x:c>
      <x:c r="Y26" s="102" t="n">
        <x:v>46218</x:v>
      </x:c>
      <x:c r="Z26" s="165" t="n">
        <x:f>IF(A26="","",ROUND(V26/INDEX($V$5:$V$87,MATCH($AA$3,$A$5:$A$87,0))*100,1))</x:f>
        <x:v>101.4</x:v>
      </x:c>
      <x:c r="AA26" s="167" t="n">
        <x:f>IF(V26="","",COUNTIF($V$5:$V$87,"&gt;"&amp;V26)+1)</x:f>
        <x:v>40</x:v>
      </x:c>
      <x:c r="AB26" s="163" t="str">
        <x:f>IF(Z26="","",IF(Z26&gt;='Lists'!$AL$9,'Lists'!$AK$9,IF(Z26&gt;='Lists'!$AL$8,'Lists'!$AK$8,IF(Z26&gt;='Lists'!$AL$7,'Lists'!$AK$7,IF(Z26&gt;='Lists'!$AL$6,'Lists'!$AK$6,'Lists'!$AK$5)))))</x:f>
        <x:v>メインストリーム</x:v>
      </x:c>
      <x:c r="AC26" s="165" t="n">
        <x:f>IF(OR(V26="",X26="",X26=0),"",ROUND(V26/X26,1))</x:f>
        <x:v>131.7</x:v>
      </x:c>
    </x:row>
    <x:row r="27" ht="38" customHeight="1">
      <x:c r="A27" s="12" t="str">
        <x:v>amd-radeon-rx-9060-xt-16gb</x:v>
      </x:c>
      <x:c r="B27" s="12" t="str">
        <x:v>AMD</x:v>
      </x:c>
      <x:c r="C27" s="12" t="str">
        <x:v>Radeon RX 9060 XT 16GB</x:v>
      </x:c>
      <x:c r="D27" s="12" t="str">
        <x:v>AMD Radeon RX 9060 XT 16GB</x:v>
      </x:c>
      <x:c r="E27" s="12" t="str">
        <x:v>Radeon RX 9060 XT 16GB</x:v>
      </x:c>
      <x:c r="F27" s="12" t="str">
        <x:v>research_required</x:v>
      </x:c>
      <x:c r="G27" s="12" t="str">
        <x:v>unrated</x:v>
      </x:c>
      <x:c r="H27" s="102" t="n">
        <x:v>46218</x:v>
      </x:c>
      <x:c r="I27" s="14" t="str">
        <x:v>GPUチップ性能比較用の基準レコード。実製品の冷却・騒音・寸法・保証はGPUシートのボードSKUで別評価します。</x:v>
      </x:c>
      <x:c r="J27" s="14"/>
      <x:c r="K27" s="14"/>
      <x:c r="L27" s="14" t="str">
        <x:v>ボードメーカー別の品質・保証・電源・寸法は未評価</x:v>
      </x:c>
      <x:c r="M27" s="14" t="str">
        <x:v>PassMark値は2026-07-15確認時点。販売商品への自動承認には使用せず、個別ボードSKUを別途登録してください。</x:v>
      </x:c>
      <x:c r="N27" s="12" t="str">
        <x:v>RDNA 4</x:v>
      </x:c>
      <x:c r="O27" s="12" t="str">
        <x:v>Radeon RX 9000 Series</x:v>
      </x:c>
      <x:c r="P27" s="102" t="n">
        <x:v>45813</x:v>
      </x:c>
      <x:c r="Q27" s="12" t="str">
        <x:v>2025-06-05</x:v>
      </x:c>
      <x:c r="R27" s="12" t="str">
        <x:v>exact</x:v>
      </x:c>
      <x:c r="S27" s="104" t="n">
        <x:v>16</x:v>
      </x:c>
      <x:c r="T27" s="12" t="str">
        <x:v>GDDR6</x:v>
      </x:c>
      <x:c r="U27" s="105" t="n">
        <x:v>128</x:v>
      </x:c>
      <x:c r="V27" s="105" t="n">
        <x:v>20081</x:v>
      </x:c>
      <x:c r="W27" s="105" t="n">
        <x:v>1171</x:v>
      </x:c>
      <x:c r="X27" s="105" t="n">
        <x:v>160</x:v>
      </x:c>
      <x:c r="Y27" s="102" t="n">
        <x:v>46218</x:v>
      </x:c>
      <x:c r="Z27" s="164" t="n">
        <x:f>IF(A27="","",ROUND(V27/INDEX($V$5:$V$87,MATCH($AA$3,$A$5:$A$87,0))*100,1))</x:f>
        <x:v>103</x:v>
      </x:c>
      <x:c r="AA27" s="166" t="n">
        <x:f>IF(V27="","",COUNTIF($V$5:$V$87,"&gt;"&amp;V27)+1)</x:f>
        <x:v>39</x:v>
      </x:c>
      <x:c r="AB27" s="162" t="str">
        <x:f>IF(Z27="","",IF(Z27&gt;='Lists'!$AL$9,'Lists'!$AK$9,IF(Z27&gt;='Lists'!$AL$8,'Lists'!$AK$8,IF(Z27&gt;='Lists'!$AL$7,'Lists'!$AK$7,IF(Z27&gt;='Lists'!$AL$6,'Lists'!$AK$6,'Lists'!$AK$5)))))</x:f>
        <x:v>メインストリーム</x:v>
      </x:c>
      <x:c r="AC27" s="164" t="n">
        <x:f>IF(OR(V27="",X27="",X27=0),"",ROUND(V27/X27,1))</x:f>
        <x:v>125.5</x:v>
      </x:c>
    </x:row>
    <x:row r="28" ht="38" customHeight="1">
      <x:c r="A28" s="12" t="str">
        <x:v>amd-radeon-rx-9070</x:v>
      </x:c>
      <x:c r="B28" s="12" t="str">
        <x:v>AMD</x:v>
      </x:c>
      <x:c r="C28" s="12" t="str">
        <x:v>Radeon RX 9070</x:v>
      </x:c>
      <x:c r="D28" s="12" t="str">
        <x:v>AMD Radeon RX 9070</x:v>
      </x:c>
      <x:c r="E28" s="12" t="str">
        <x:v>Radeon RX 9070</x:v>
      </x:c>
      <x:c r="F28" s="12" t="str">
        <x:v>research_required</x:v>
      </x:c>
      <x:c r="G28" s="12" t="str">
        <x:v>unrated</x:v>
      </x:c>
      <x:c r="H28" s="102" t="n">
        <x:v>46218</x:v>
      </x:c>
      <x:c r="I28" s="14" t="str">
        <x:v>GPUチップ性能比較用の基準レコード。実製品の冷却・騒音・寸法・保証はGPUシートのボードSKUで別評価します。</x:v>
      </x:c>
      <x:c r="J28" s="14"/>
      <x:c r="K28" s="14"/>
      <x:c r="L28" s="14" t="str">
        <x:v>ボードメーカー別の品質・保証・電源・寸法は未評価</x:v>
      </x:c>
      <x:c r="M28" s="14" t="str">
        <x:v>PassMark値は2026-07-15確認時点。販売商品への自動承認には使用せず、個別ボードSKUを別途登録してください。</x:v>
      </x:c>
      <x:c r="N28" s="12" t="str">
        <x:v>RDNA 4</x:v>
      </x:c>
      <x:c r="O28" s="12" t="str">
        <x:v>Radeon RX 9000 Series</x:v>
      </x:c>
      <x:c r="P28" s="102" t="n">
        <x:v>45722</x:v>
      </x:c>
      <x:c r="Q28" s="12" t="str">
        <x:v>2025-03-06</x:v>
      </x:c>
      <x:c r="R28" s="12" t="str">
        <x:v>exact</x:v>
      </x:c>
      <x:c r="S28" s="104" t="n">
        <x:v>16</x:v>
      </x:c>
      <x:c r="T28" s="12" t="str">
        <x:v>GDDR6</x:v>
      </x:c>
      <x:c r="U28" s="105" t="n">
        <x:v>256</x:v>
      </x:c>
      <x:c r="V28" s="105" t="n">
        <x:v>25375</x:v>
      </x:c>
      <x:c r="W28" s="105" t="n">
        <x:v>1265</x:v>
      </x:c>
      <x:c r="X28" s="105" t="n">
        <x:v>220</x:v>
      </x:c>
      <x:c r="Y28" s="102" t="n">
        <x:v>46218</x:v>
      </x:c>
      <x:c r="Z28" s="165" t="n">
        <x:f>IF(A28="","",ROUND(V28/INDEX($V$5:$V$87,MATCH($AA$3,$A$5:$A$87,0))*100,1))</x:f>
        <x:v>130.2</x:v>
      </x:c>
      <x:c r="AA28" s="167" t="n">
        <x:f>IF(V28="","",COUNTIF($V$5:$V$87,"&gt;"&amp;V28)+1)</x:f>
        <x:v>22</x:v>
      </x:c>
      <x:c r="AB28" s="163" t="str">
        <x:f>IF(Z28="","",IF(Z28&gt;='Lists'!$AL$9,'Lists'!$AK$9,IF(Z28&gt;='Lists'!$AL$8,'Lists'!$AK$8,IF(Z28&gt;='Lists'!$AL$7,'Lists'!$AK$7,IF(Z28&gt;='Lists'!$AL$6,'Lists'!$AK$6,'Lists'!$AK$5)))))</x:f>
        <x:v>ミドルレンジ</x:v>
      </x:c>
      <x:c r="AC28" s="165" t="n">
        <x:f>IF(OR(V28="",X28="",X28=0),"",ROUND(V28/X28,1))</x:f>
        <x:v>115.3</x:v>
      </x:c>
    </x:row>
    <x:row r="29" ht="38" customHeight="1">
      <x:c r="A29" s="12" t="str">
        <x:v>amd-radeon-rx-9070-gre</x:v>
      </x:c>
      <x:c r="B29" s="12" t="str">
        <x:v>AMD</x:v>
      </x:c>
      <x:c r="C29" s="12" t="str">
        <x:v>Radeon RX 9070 GRE</x:v>
      </x:c>
      <x:c r="D29" s="12" t="str">
        <x:v>AMD Radeon RX 9070 GRE</x:v>
      </x:c>
      <x:c r="E29" s="12" t="str">
        <x:v>Radeon RX 9070 GRE</x:v>
      </x:c>
      <x:c r="F29" s="12" t="str">
        <x:v>research_required</x:v>
      </x:c>
      <x:c r="G29" s="12" t="str">
        <x:v>unrated</x:v>
      </x:c>
      <x:c r="H29" s="102" t="n">
        <x:v>46218</x:v>
      </x:c>
      <x:c r="I29" s="14" t="str">
        <x:v>GPUチップ性能比較用の基準レコード。実製品の冷却・騒音・寸法・保証はGPUシートのボードSKUで別評価します。</x:v>
      </x:c>
      <x:c r="J29" s="14"/>
      <x:c r="K29" s="14"/>
      <x:c r="L29" s="14" t="str">
        <x:v>ボードメーカー別の品質・保証・電源・寸法は未評価</x:v>
      </x:c>
      <x:c r="M29" s="14" t="str">
        <x:v>PassMark値は2026-07-15確認時点。販売商品への自動承認には使用せず、個別ボードSKUを別途登録してください。</x:v>
      </x:c>
      <x:c r="N29" s="12" t="str">
        <x:v>RDNA 4</x:v>
      </x:c>
      <x:c r="O29" s="12" t="str">
        <x:v>Radeon RX 9000 Series</x:v>
      </x:c>
      <x:c r="P29" s="102" t="n">
        <x:v>46175</x:v>
      </x:c>
      <x:c r="Q29" s="12" t="str">
        <x:v>2026-06-02</x:v>
      </x:c>
      <x:c r="R29" s="12" t="str">
        <x:v>exact</x:v>
      </x:c>
      <x:c r="S29" s="104" t="n">
        <x:v>12</x:v>
      </x:c>
      <x:c r="T29" s="12" t="str">
        <x:v>GDDR6</x:v>
      </x:c>
      <x:c r="U29" s="105" t="n">
        <x:v>192</x:v>
      </x:c>
      <x:c r="V29" s="105" t="n">
        <x:v>24257</x:v>
      </x:c>
      <x:c r="W29" s="105" t="n">
        <x:v>1198</x:v>
      </x:c>
      <x:c r="X29" s="105" t="n">
        <x:v>220</x:v>
      </x:c>
      <x:c r="Y29" s="102" t="n">
        <x:v>46218</x:v>
      </x:c>
      <x:c r="Z29" s="164" t="n">
        <x:f>IF(A29="","",ROUND(V29/INDEX($V$5:$V$87,MATCH($AA$3,$A$5:$A$87,0))*100,1))</x:f>
        <x:v>124.4</x:v>
      </x:c>
      <x:c r="AA29" s="166" t="n">
        <x:f>IF(V29="","",COUNTIF($V$5:$V$87,"&gt;"&amp;V29)+1)</x:f>
        <x:v>26</x:v>
      </x:c>
      <x:c r="AB29" s="162" t="str">
        <x:f>IF(Z29="","",IF(Z29&gt;='Lists'!$AL$9,'Lists'!$AK$9,IF(Z29&gt;='Lists'!$AL$8,'Lists'!$AK$8,IF(Z29&gt;='Lists'!$AL$7,'Lists'!$AK$7,IF(Z29&gt;='Lists'!$AL$6,'Lists'!$AK$6,'Lists'!$AK$5)))))</x:f>
        <x:v>ミドルレンジ</x:v>
      </x:c>
      <x:c r="AC29" s="164" t="n">
        <x:f>IF(OR(V29="",X29="",X29=0),"",ROUND(V29/X29,1))</x:f>
        <x:v>110.3</x:v>
      </x:c>
    </x:row>
    <x:row r="30" ht="38" customHeight="1">
      <x:c r="A30" s="12" t="str">
        <x:v>amd-radeon-rx-9070-xt</x:v>
      </x:c>
      <x:c r="B30" s="12" t="str">
        <x:v>AMD</x:v>
      </x:c>
      <x:c r="C30" s="12" t="str">
        <x:v>Radeon RX 9070 XT</x:v>
      </x:c>
      <x:c r="D30" s="12" t="str">
        <x:v>AMD Radeon RX 9070 XT</x:v>
      </x:c>
      <x:c r="E30" s="12" t="str">
        <x:v>Radeon RX 9070 XT</x:v>
      </x:c>
      <x:c r="F30" s="12" t="str">
        <x:v>research_required</x:v>
      </x:c>
      <x:c r="G30" s="12" t="str">
        <x:v>unrated</x:v>
      </x:c>
      <x:c r="H30" s="102" t="n">
        <x:v>46218</x:v>
      </x:c>
      <x:c r="I30" s="14" t="str">
        <x:v>GPUチップ性能比較用の基準レコード。実製品の冷却・騒音・寸法・保証はGPUシートのボードSKUで別評価します。</x:v>
      </x:c>
      <x:c r="J30" s="14"/>
      <x:c r="K30" s="14"/>
      <x:c r="L30" s="14" t="str">
        <x:v>ボードメーカー別の品質・保証・電源・寸法は未評価</x:v>
      </x:c>
      <x:c r="M30" s="14" t="str">
        <x:v>PassMark値は2026-07-15確認時点。販売商品への自動承認には使用せず、個別ボードSKUを別途登録してください。</x:v>
      </x:c>
      <x:c r="N30" s="12" t="str">
        <x:v>RDNA 4</x:v>
      </x:c>
      <x:c r="O30" s="12" t="str">
        <x:v>Radeon RX 9000 Series</x:v>
      </x:c>
      <x:c r="P30" s="102" t="n">
        <x:v>45722</x:v>
      </x:c>
      <x:c r="Q30" s="12" t="str">
        <x:v>2025-03-06</x:v>
      </x:c>
      <x:c r="R30" s="12" t="str">
        <x:v>exact</x:v>
      </x:c>
      <x:c r="S30" s="104" t="n">
        <x:v>16</x:v>
      </x:c>
      <x:c r="T30" s="12" t="str">
        <x:v>GDDR6</x:v>
      </x:c>
      <x:c r="U30" s="105" t="n">
        <x:v>256</x:v>
      </x:c>
      <x:c r="V30" s="105" t="n">
        <x:v>26912</x:v>
      </x:c>
      <x:c r="W30" s="105" t="n">
        <x:v>1315</x:v>
      </x:c>
      <x:c r="X30" s="105" t="n">
        <x:v>304</x:v>
      </x:c>
      <x:c r="Y30" s="102" t="n">
        <x:v>46218</x:v>
      </x:c>
      <x:c r="Z30" s="165" t="n">
        <x:f>IF(A30="","",ROUND(V30/INDEX($V$5:$V$87,MATCH($AA$3,$A$5:$A$87,0))*100,1))</x:f>
        <x:v>138.1</x:v>
      </x:c>
      <x:c r="AA30" s="167" t="n">
        <x:f>IF(V30="","",COUNTIF($V$5:$V$87,"&gt;"&amp;V30)+1)</x:f>
        <x:v>16</x:v>
      </x:c>
      <x:c r="AB30" s="163" t="str">
        <x:f>IF(Z30="","",IF(Z30&gt;='Lists'!$AL$9,'Lists'!$AK$9,IF(Z30&gt;='Lists'!$AL$8,'Lists'!$AK$8,IF(Z30&gt;='Lists'!$AL$7,'Lists'!$AK$7,IF(Z30&gt;='Lists'!$AL$6,'Lists'!$AK$6,'Lists'!$AK$5)))))</x:f>
        <x:v>ミドルレンジ</x:v>
      </x:c>
      <x:c r="AC30" s="165" t="n">
        <x:f>IF(OR(V30="",X30="",X30=0),"",ROUND(V30/X30,1))</x:f>
        <x:v>88.5</x:v>
      </x:c>
    </x:row>
    <x:row r="31" ht="38" customHeight="1">
      <x:c r="A31" s="12" t="str">
        <x:v>nvidia-geforce-rtx-2060-6gb</x:v>
      </x:c>
      <x:c r="B31" s="12" t="str">
        <x:v>NVIDIA</x:v>
      </x:c>
      <x:c r="C31" s="12" t="str">
        <x:v>GeForce RTX 2060 6GB</x:v>
      </x:c>
      <x:c r="D31" s="12" t="str">
        <x:v>NVIDIA GeForce RTX 2060 6GB</x:v>
      </x:c>
      <x:c r="E31" s="12" t="str">
        <x:v>GeForce RTX 2060 6GB
GeForce RTX 2060</x:v>
      </x:c>
      <x:c r="F31" s="12" t="str">
        <x:v>research_required</x:v>
      </x:c>
      <x:c r="G31" s="12" t="str">
        <x:v>unrated</x:v>
      </x:c>
      <x:c r="H31" s="102" t="n">
        <x:v>46218</x:v>
      </x:c>
      <x:c r="I31" s="14" t="str">
        <x:v>GPUチップ性能比較用の基準レコード。実製品の冷却・騒音・寸法・保証はGPUシートのボードSKUで別評価します。</x:v>
      </x:c>
      <x:c r="J31" s="14"/>
      <x:c r="K31" s="14"/>
      <x:c r="L31" s="14" t="str">
        <x:v>ボードメーカー別の品質・保証・電源・寸法は未評価</x:v>
      </x:c>
      <x:c r="M31" s="14" t="str">
        <x:v>PassMark値は2026-07-15確認時点。販売商品への自動承認には使用せず、個別ボードSKUを別途登録してください。</x:v>
      </x:c>
      <x:c r="N31" s="12" t="str">
        <x:v>Turing</x:v>
      </x:c>
      <x:c r="O31" s="12" t="str">
        <x:v>GeForce RTX 20 Series</x:v>
      </x:c>
      <x:c r="P31" s="102" t="n">
        <x:v>43480</x:v>
      </x:c>
      <x:c r="Q31" s="12" t="str">
        <x:v>2019-01-15</x:v>
      </x:c>
      <x:c r="R31" s="12" t="str">
        <x:v>exact</x:v>
      </x:c>
      <x:c r="S31" s="104" t="n">
        <x:v>6</x:v>
      </x:c>
      <x:c r="T31" s="12" t="str">
        <x:v>GDDR6</x:v>
      </x:c>
      <x:c r="U31" s="105" t="n">
        <x:v>192</x:v>
      </x:c>
      <x:c r="V31" s="105" t="n">
        <x:v>14090</x:v>
      </x:c>
      <x:c r="W31" s="105" t="n">
        <x:v>744</x:v>
      </x:c>
      <x:c r="X31" s="105" t="n">
        <x:v>160</x:v>
      </x:c>
      <x:c r="Y31" s="102" t="n">
        <x:v>46218</x:v>
      </x:c>
      <x:c r="Z31" s="164" t="n">
        <x:f>IF(A31="","",ROUND(V31/INDEX($V$5:$V$87,MATCH($AA$3,$A$5:$A$87,0))*100,1))</x:f>
        <x:v>72.3</x:v>
      </x:c>
      <x:c r="AA31" s="166" t="n">
        <x:f>IF(V31="","",COUNTIF($V$5:$V$87,"&gt;"&amp;V31)+1)</x:f>
        <x:v>59</x:v>
      </x:c>
      <x:c r="AB31" s="162" t="str">
        <x:f>IF(Z31="","",IF(Z31&gt;='Lists'!$AL$9,'Lists'!$AK$9,IF(Z31&gt;='Lists'!$AL$8,'Lists'!$AK$8,IF(Z31&gt;='Lists'!$AL$7,'Lists'!$AK$7,IF(Z31&gt;='Lists'!$AL$6,'Lists'!$AK$6,'Lists'!$AK$5)))))</x:f>
        <x:v>エントリー</x:v>
      </x:c>
      <x:c r="AC31" s="164" t="n">
        <x:f>IF(OR(V31="",X31="",X31=0),"",ROUND(V31/X31,1))</x:f>
        <x:v>88.1</x:v>
      </x:c>
    </x:row>
    <x:row r="32" ht="38" customHeight="1">
      <x:c r="A32" s="12" t="str">
        <x:v>nvidia-geforce-rtx-2060-12gb</x:v>
      </x:c>
      <x:c r="B32" s="12" t="str">
        <x:v>NVIDIA</x:v>
      </x:c>
      <x:c r="C32" s="12" t="str">
        <x:v>GeForce RTX 2060 12GB</x:v>
      </x:c>
      <x:c r="D32" s="12" t="str">
        <x:v>NVIDIA GeForce RTX 2060 12GB</x:v>
      </x:c>
      <x:c r="E32" s="12" t="str">
        <x:v>GeForce RTX 2060 12GB</x:v>
      </x:c>
      <x:c r="F32" s="12" t="str">
        <x:v>research_required</x:v>
      </x:c>
      <x:c r="G32" s="12" t="str">
        <x:v>unrated</x:v>
      </x:c>
      <x:c r="H32" s="102" t="n">
        <x:v>46218</x:v>
      </x:c>
      <x:c r="I32" s="14" t="str">
        <x:v>GPUチップ性能比較用の基準レコード。実製品の冷却・騒音・寸法・保証はGPUシートのボードSKUで別評価します。</x:v>
      </x:c>
      <x:c r="J32" s="14"/>
      <x:c r="K32" s="14"/>
      <x:c r="L32" s="14" t="str">
        <x:v>ボードメーカー別の品質・保証・電源・寸法は未評価</x:v>
      </x:c>
      <x:c r="M32" s="14" t="str">
        <x:v>PassMark値は2026-07-15確認時点。販売商品への自動承認には使用せず、個別ボードSKUを別途登録してください。</x:v>
      </x:c>
      <x:c r="N32" s="12" t="str">
        <x:v>Turing</x:v>
      </x:c>
      <x:c r="O32" s="12" t="str">
        <x:v>GeForce RTX 20 Series</x:v>
      </x:c>
      <x:c r="P32" s="102" t="n">
        <x:v>44537</x:v>
      </x:c>
      <x:c r="Q32" s="12" t="str">
        <x:v>2021-12-07</x:v>
      </x:c>
      <x:c r="R32" s="12" t="str">
        <x:v>exact</x:v>
      </x:c>
      <x:c r="S32" s="104" t="n">
        <x:v>12</x:v>
      </x:c>
      <x:c r="T32" s="12" t="str">
        <x:v>GDDR6</x:v>
      </x:c>
      <x:c r="U32" s="105" t="n">
        <x:v>192</x:v>
      </x:c>
      <x:c r="V32" s="105" t="n">
        <x:v>15924</x:v>
      </x:c>
      <x:c r="W32" s="105" t="n">
        <x:v>851</x:v>
      </x:c>
      <x:c r="X32" s="105" t="n">
        <x:v>185</x:v>
      </x:c>
      <x:c r="Y32" s="102" t="n">
        <x:v>46218</x:v>
      </x:c>
      <x:c r="Z32" s="165" t="n">
        <x:f>IF(A32="","",ROUND(V32/INDEX($V$5:$V$87,MATCH($AA$3,$A$5:$A$87,0))*100,1))</x:f>
        <x:v>81.7</x:v>
      </x:c>
      <x:c r="AA32" s="167" t="n">
        <x:f>IF(V32="","",COUNTIF($V$5:$V$87,"&gt;"&amp;V32)+1)</x:f>
        <x:v>56</x:v>
      </x:c>
      <x:c r="AB32" s="163" t="str">
        <x:f>IF(Z32="","",IF(Z32&gt;='Lists'!$AL$9,'Lists'!$AK$9,IF(Z32&gt;='Lists'!$AL$8,'Lists'!$AK$8,IF(Z32&gt;='Lists'!$AL$7,'Lists'!$AK$7,IF(Z32&gt;='Lists'!$AL$6,'Lists'!$AK$6,'Lists'!$AK$5)))))</x:f>
        <x:v>メインストリーム</x:v>
      </x:c>
      <x:c r="AC32" s="165" t="n">
        <x:f>IF(OR(V32="",X32="",X32=0),"",ROUND(V32/X32,1))</x:f>
        <x:v>86.1</x:v>
      </x:c>
    </x:row>
    <x:row r="33" ht="38" customHeight="1">
      <x:c r="A33" s="12" t="str">
        <x:v>nvidia-geforce-rtx-2060-super</x:v>
      </x:c>
      <x:c r="B33" s="12" t="str">
        <x:v>NVIDIA</x:v>
      </x:c>
      <x:c r="C33" s="12" t="str">
        <x:v>GeForce RTX 2060 SUPER</x:v>
      </x:c>
      <x:c r="D33" s="12" t="str">
        <x:v>NVIDIA GeForce RTX 2060 SUPER</x:v>
      </x:c>
      <x:c r="E33" s="12" t="str">
        <x:v>GeForce RTX 2060 SUPER</x:v>
      </x:c>
      <x:c r="F33" s="12" t="str">
        <x:v>research_required</x:v>
      </x:c>
      <x:c r="G33" s="12" t="str">
        <x:v>unrated</x:v>
      </x:c>
      <x:c r="H33" s="102" t="n">
        <x:v>46218</x:v>
      </x:c>
      <x:c r="I33" s="14" t="str">
        <x:v>GPUチップ性能比較用の基準レコード。実製品の冷却・騒音・寸法・保証はGPUシートのボードSKUで別評価します。</x:v>
      </x:c>
      <x:c r="J33" s="14"/>
      <x:c r="K33" s="14"/>
      <x:c r="L33" s="14" t="str">
        <x:v>ボードメーカー別の品質・保証・電源・寸法は未評価</x:v>
      </x:c>
      <x:c r="M33" s="14" t="str">
        <x:v>PassMark値は2026-07-15確認時点。販売商品への自動承認には使用せず、個別ボードSKUを別途登録してください。</x:v>
      </x:c>
      <x:c r="N33" s="12" t="str">
        <x:v>Turing</x:v>
      </x:c>
      <x:c r="O33" s="12" t="str">
        <x:v>GeForce RTX 20 Series</x:v>
      </x:c>
      <x:c r="P33" s="102" t="n">
        <x:v>43655</x:v>
      </x:c>
      <x:c r="Q33" s="12" t="str">
        <x:v>2019-07-09</x:v>
      </x:c>
      <x:c r="R33" s="12" t="str">
        <x:v>exact</x:v>
      </x:c>
      <x:c r="S33" s="104" t="n">
        <x:v>8</x:v>
      </x:c>
      <x:c r="T33" s="12" t="str">
        <x:v>GDDR6</x:v>
      </x:c>
      <x:c r="U33" s="105" t="n">
        <x:v>256</x:v>
      </x:c>
      <x:c r="V33" s="105" t="n">
        <x:v>16469</x:v>
      </x:c>
      <x:c r="W33" s="105" t="n">
        <x:v>857</x:v>
      </x:c>
      <x:c r="X33" s="105" t="n">
        <x:v>175</x:v>
      </x:c>
      <x:c r="Y33" s="102" t="n">
        <x:v>46218</x:v>
      </x:c>
      <x:c r="Z33" s="164" t="n">
        <x:f>IF(A33="","",ROUND(V33/INDEX($V$5:$V$87,MATCH($AA$3,$A$5:$A$87,0))*100,1))</x:f>
        <x:v>84.5</x:v>
      </x:c>
      <x:c r="AA33" s="166" t="n">
        <x:f>IF(V33="","",COUNTIF($V$5:$V$87,"&gt;"&amp;V33)+1)</x:f>
        <x:v>52</x:v>
      </x:c>
      <x:c r="AB33" s="162" t="str">
        <x:f>IF(Z33="","",IF(Z33&gt;='Lists'!$AL$9,'Lists'!$AK$9,IF(Z33&gt;='Lists'!$AL$8,'Lists'!$AK$8,IF(Z33&gt;='Lists'!$AL$7,'Lists'!$AK$7,IF(Z33&gt;='Lists'!$AL$6,'Lists'!$AK$6,'Lists'!$AK$5)))))</x:f>
        <x:v>メインストリーム</x:v>
      </x:c>
      <x:c r="AC33" s="164" t="n">
        <x:f>IF(OR(V33="",X33="",X33=0),"",ROUND(V33/X33,1))</x:f>
        <x:v>94.1</x:v>
      </x:c>
    </x:row>
    <x:row r="34" ht="38" customHeight="1">
      <x:c r="A34" s="12" t="str">
        <x:v>nvidia-geforce-rtx-2070</x:v>
      </x:c>
      <x:c r="B34" s="12" t="str">
        <x:v>NVIDIA</x:v>
      </x:c>
      <x:c r="C34" s="12" t="str">
        <x:v>GeForce RTX 2070</x:v>
      </x:c>
      <x:c r="D34" s="12" t="str">
        <x:v>NVIDIA GeForce RTX 2070</x:v>
      </x:c>
      <x:c r="E34" s="12" t="str">
        <x:v>GeForce RTX 2070</x:v>
      </x:c>
      <x:c r="F34" s="12" t="str">
        <x:v>research_required</x:v>
      </x:c>
      <x:c r="G34" s="12" t="str">
        <x:v>unrated</x:v>
      </x:c>
      <x:c r="H34" s="102" t="n">
        <x:v>46218</x:v>
      </x:c>
      <x:c r="I34" s="14" t="str">
        <x:v>GPUチップ性能比較用の基準レコード。実製品の冷却・騒音・寸法・保証はGPUシートのボードSKUで別評価します。</x:v>
      </x:c>
      <x:c r="J34" s="14"/>
      <x:c r="K34" s="14"/>
      <x:c r="L34" s="14" t="str">
        <x:v>ボードメーカー別の品質・保証・電源・寸法は未評価</x:v>
      </x:c>
      <x:c r="M34" s="14" t="str">
        <x:v>PassMark値は2026-07-15確認時点。販売商品への自動承認には使用せず、個別ボードSKUを別途登録してください。</x:v>
      </x:c>
      <x:c r="N34" s="12" t="str">
        <x:v>Turing</x:v>
      </x:c>
      <x:c r="O34" s="12" t="str">
        <x:v>GeForce RTX 20 Series</x:v>
      </x:c>
      <x:c r="P34" s="102" t="n">
        <x:v>43390</x:v>
      </x:c>
      <x:c r="Q34" s="12" t="str">
        <x:v>2018-10-17</x:v>
      </x:c>
      <x:c r="R34" s="12" t="str">
        <x:v>exact</x:v>
      </x:c>
      <x:c r="S34" s="104" t="n">
        <x:v>8</x:v>
      </x:c>
      <x:c r="T34" s="12" t="str">
        <x:v>GDDR6</x:v>
      </x:c>
      <x:c r="U34" s="105" t="n">
        <x:v>256</x:v>
      </x:c>
      <x:c r="V34" s="105" t="n">
        <x:v>16062</x:v>
      </x:c>
      <x:c r="W34" s="105" t="n">
        <x:v>816</x:v>
      </x:c>
      <x:c r="X34" s="105" t="n">
        <x:v>175</x:v>
      </x:c>
      <x:c r="Y34" s="102" t="n">
        <x:v>46218</x:v>
      </x:c>
      <x:c r="Z34" s="165" t="n">
        <x:f>IF(A34="","",ROUND(V34/INDEX($V$5:$V$87,MATCH($AA$3,$A$5:$A$87,0))*100,1))</x:f>
        <x:v>82.4</x:v>
      </x:c>
      <x:c r="AA34" s="167" t="n">
        <x:f>IF(V34="","",COUNTIF($V$5:$V$87,"&gt;"&amp;V34)+1)</x:f>
        <x:v>55</x:v>
      </x:c>
      <x:c r="AB34" s="163" t="str">
        <x:f>IF(Z34="","",IF(Z34&gt;='Lists'!$AL$9,'Lists'!$AK$9,IF(Z34&gt;='Lists'!$AL$8,'Lists'!$AK$8,IF(Z34&gt;='Lists'!$AL$7,'Lists'!$AK$7,IF(Z34&gt;='Lists'!$AL$6,'Lists'!$AK$6,'Lists'!$AK$5)))))</x:f>
        <x:v>メインストリーム</x:v>
      </x:c>
      <x:c r="AC34" s="165" t="n">
        <x:f>IF(OR(V34="",X34="",X34=0),"",ROUND(V34/X34,1))</x:f>
        <x:v>91.8</x:v>
      </x:c>
    </x:row>
    <x:row r="35" ht="38" customHeight="1">
      <x:c r="A35" s="12" t="str">
        <x:v>nvidia-geforce-rtx-2070-super</x:v>
      </x:c>
      <x:c r="B35" s="12" t="str">
        <x:v>NVIDIA</x:v>
      </x:c>
      <x:c r="C35" s="12" t="str">
        <x:v>GeForce RTX 2070 SUPER</x:v>
      </x:c>
      <x:c r="D35" s="12" t="str">
        <x:v>NVIDIA GeForce RTX 2070 SUPER</x:v>
      </x:c>
      <x:c r="E35" s="12" t="str">
        <x:v>GeForce RTX 2070 SUPER</x:v>
      </x:c>
      <x:c r="F35" s="12" t="str">
        <x:v>research_required</x:v>
      </x:c>
      <x:c r="G35" s="12" t="str">
        <x:v>unrated</x:v>
      </x:c>
      <x:c r="H35" s="102" t="n">
        <x:v>46218</x:v>
      </x:c>
      <x:c r="I35" s="14" t="str">
        <x:v>GPUチップ性能比較用の基準レコード。実製品の冷却・騒音・寸法・保証はGPUシートのボードSKUで別評価します。</x:v>
      </x:c>
      <x:c r="J35" s="14"/>
      <x:c r="K35" s="14"/>
      <x:c r="L35" s="14" t="str">
        <x:v>ボードメーカー別の品質・保証・電源・寸法は未評価</x:v>
      </x:c>
      <x:c r="M35" s="14" t="str">
        <x:v>PassMark値は2026-07-15確認時点。販売商品への自動承認には使用せず、個別ボードSKUを別途登録してください。</x:v>
      </x:c>
      <x:c r="N35" s="12" t="str">
        <x:v>Turing</x:v>
      </x:c>
      <x:c r="O35" s="12" t="str">
        <x:v>GeForce RTX 20 Series</x:v>
      </x:c>
      <x:c r="P35" s="102" t="n">
        <x:v>43655</x:v>
      </x:c>
      <x:c r="Q35" s="12" t="str">
        <x:v>2019-07-09</x:v>
      </x:c>
      <x:c r="R35" s="12" t="str">
        <x:v>exact</x:v>
      </x:c>
      <x:c r="S35" s="104" t="n">
        <x:v>8</x:v>
      </x:c>
      <x:c r="T35" s="12" t="str">
        <x:v>GDDR6</x:v>
      </x:c>
      <x:c r="U35" s="105" t="n">
        <x:v>256</x:v>
      </x:c>
      <x:c r="V35" s="105" t="n">
        <x:v>18127</x:v>
      </x:c>
      <x:c r="W35" s="105" t="n">
        <x:v>878</x:v>
      </x:c>
      <x:c r="X35" s="105" t="n">
        <x:v>215</x:v>
      </x:c>
      <x:c r="Y35" s="102" t="n">
        <x:v>46218</x:v>
      </x:c>
      <x:c r="Z35" s="164" t="n">
        <x:f>IF(A35="","",ROUND(V35/INDEX($V$5:$V$87,MATCH($AA$3,$A$5:$A$87,0))*100,1))</x:f>
        <x:v>93</x:v>
      </x:c>
      <x:c r="AA35" s="166" t="n">
        <x:f>IF(V35="","",COUNTIF($V$5:$V$87,"&gt;"&amp;V35)+1)</x:f>
        <x:v>46</x:v>
      </x:c>
      <x:c r="AB35" s="162" t="str">
        <x:f>IF(Z35="","",IF(Z35&gt;='Lists'!$AL$9,'Lists'!$AK$9,IF(Z35&gt;='Lists'!$AL$8,'Lists'!$AK$8,IF(Z35&gt;='Lists'!$AL$7,'Lists'!$AK$7,IF(Z35&gt;='Lists'!$AL$6,'Lists'!$AK$6,'Lists'!$AK$5)))))</x:f>
        <x:v>メインストリーム</x:v>
      </x:c>
      <x:c r="AC35" s="164" t="n">
        <x:f>IF(OR(V35="",X35="",X35=0),"",ROUND(V35/X35,1))</x:f>
        <x:v>84.3</x:v>
      </x:c>
    </x:row>
    <x:row r="36" ht="38" customHeight="1">
      <x:c r="A36" s="12" t="str">
        <x:v>nvidia-geforce-rtx-2080</x:v>
      </x:c>
      <x:c r="B36" s="12" t="str">
        <x:v>NVIDIA</x:v>
      </x:c>
      <x:c r="C36" s="12" t="str">
        <x:v>GeForce RTX 2080</x:v>
      </x:c>
      <x:c r="D36" s="12" t="str">
        <x:v>NVIDIA GeForce RTX 2080</x:v>
      </x:c>
      <x:c r="E36" s="12" t="str">
        <x:v>GeForce RTX 2080</x:v>
      </x:c>
      <x:c r="F36" s="12" t="str">
        <x:v>research_required</x:v>
      </x:c>
      <x:c r="G36" s="12" t="str">
        <x:v>unrated</x:v>
      </x:c>
      <x:c r="H36" s="102" t="n">
        <x:v>46218</x:v>
      </x:c>
      <x:c r="I36" s="14" t="str">
        <x:v>GPUチップ性能比較用の基準レコード。実製品の冷却・騒音・寸法・保証はGPUシートのボードSKUで別評価します。</x:v>
      </x:c>
      <x:c r="J36" s="14"/>
      <x:c r="K36" s="14"/>
      <x:c r="L36" s="14" t="str">
        <x:v>ボードメーカー別の品質・保証・電源・寸法は未評価</x:v>
      </x:c>
      <x:c r="M36" s="14" t="str">
        <x:v>PassMark値は2026-07-15確認時点。販売商品への自動承認には使用せず、個別ボードSKUを別途登録してください。</x:v>
      </x:c>
      <x:c r="N36" s="12" t="str">
        <x:v>Turing</x:v>
      </x:c>
      <x:c r="O36" s="12" t="str">
        <x:v>GeForce RTX 20 Series</x:v>
      </x:c>
      <x:c r="P36" s="102" t="n">
        <x:v>43363</x:v>
      </x:c>
      <x:c r="Q36" s="12" t="str">
        <x:v>2018-09-20</x:v>
      </x:c>
      <x:c r="R36" s="12" t="str">
        <x:v>exact</x:v>
      </x:c>
      <x:c r="S36" s="104" t="n">
        <x:v>8</x:v>
      </x:c>
      <x:c r="T36" s="12" t="str">
        <x:v>GDDR6</x:v>
      </x:c>
      <x:c r="U36" s="105" t="n">
        <x:v>256</x:v>
      </x:c>
      <x:c r="V36" s="105" t="n">
        <x:v>18567</x:v>
      </x:c>
      <x:c r="W36" s="105" t="n">
        <x:v>897</x:v>
      </x:c>
      <x:c r="X36" s="105" t="n">
        <x:v>250</x:v>
      </x:c>
      <x:c r="Y36" s="102" t="n">
        <x:v>46218</x:v>
      </x:c>
      <x:c r="Z36" s="165" t="n">
        <x:f>IF(A36="","",ROUND(V36/INDEX($V$5:$V$87,MATCH($AA$3,$A$5:$A$87,0))*100,1))</x:f>
        <x:v>95.2</x:v>
      </x:c>
      <x:c r="AA36" s="167" t="n">
        <x:f>IF(V36="","",COUNTIF($V$5:$V$87,"&gt;"&amp;V36)+1)</x:f>
        <x:v>45</x:v>
      </x:c>
      <x:c r="AB36" s="163" t="str">
        <x:f>IF(Z36="","",IF(Z36&gt;='Lists'!$AL$9,'Lists'!$AK$9,IF(Z36&gt;='Lists'!$AL$8,'Lists'!$AK$8,IF(Z36&gt;='Lists'!$AL$7,'Lists'!$AK$7,IF(Z36&gt;='Lists'!$AL$6,'Lists'!$AK$6,'Lists'!$AK$5)))))</x:f>
        <x:v>メインストリーム</x:v>
      </x:c>
      <x:c r="AC36" s="165" t="n">
        <x:f>IF(OR(V36="",X36="",X36=0),"",ROUND(V36/X36,1))</x:f>
        <x:v>74.3</x:v>
      </x:c>
    </x:row>
    <x:row r="37" ht="38" customHeight="1">
      <x:c r="A37" s="12" t="str">
        <x:v>nvidia-geforce-rtx-2080-super</x:v>
      </x:c>
      <x:c r="B37" s="12" t="str">
        <x:v>NVIDIA</x:v>
      </x:c>
      <x:c r="C37" s="12" t="str">
        <x:v>GeForce RTX 2080 SUPER</x:v>
      </x:c>
      <x:c r="D37" s="12" t="str">
        <x:v>NVIDIA GeForce RTX 2080 SUPER</x:v>
      </x:c>
      <x:c r="E37" s="12" t="str">
        <x:v>GeForce RTX 2080 SUPER</x:v>
      </x:c>
      <x:c r="F37" s="12" t="str">
        <x:v>research_required</x:v>
      </x:c>
      <x:c r="G37" s="12" t="str">
        <x:v>unrated</x:v>
      </x:c>
      <x:c r="H37" s="102" t="n">
        <x:v>46218</x:v>
      </x:c>
      <x:c r="I37" s="14" t="str">
        <x:v>GPUチップ性能比較用の基準レコード。実製品の冷却・騒音・寸法・保証はGPUシートのボードSKUで別評価します。</x:v>
      </x:c>
      <x:c r="J37" s="14"/>
      <x:c r="K37" s="14"/>
      <x:c r="L37" s="14" t="str">
        <x:v>ボードメーカー別の品質・保証・電源・寸法は未評価</x:v>
      </x:c>
      <x:c r="M37" s="14" t="str">
        <x:v>PassMark値は2026-07-15確認時点。販売商品への自動承認には使用せず、個別ボードSKUを別途登録してください。</x:v>
      </x:c>
      <x:c r="N37" s="12" t="str">
        <x:v>Turing</x:v>
      </x:c>
      <x:c r="O37" s="12" t="str">
        <x:v>GeForce RTX 20 Series</x:v>
      </x:c>
      <x:c r="P37" s="102" t="n">
        <x:v>43669</x:v>
      </x:c>
      <x:c r="Q37" s="12" t="str">
        <x:v>2019-07-23</x:v>
      </x:c>
      <x:c r="R37" s="12" t="str">
        <x:v>exact</x:v>
      </x:c>
      <x:c r="S37" s="104" t="n">
        <x:v>8</x:v>
      </x:c>
      <x:c r="T37" s="12" t="str">
        <x:v>GDDR6</x:v>
      </x:c>
      <x:c r="U37" s="105" t="n">
        <x:v>256</x:v>
      </x:c>
      <x:c r="V37" s="105" t="n">
        <x:v>19422</x:v>
      </x:c>
      <x:c r="W37" s="105" t="n">
        <x:v>918</x:v>
      </x:c>
      <x:c r="X37" s="105" t="n">
        <x:v>250</x:v>
      </x:c>
      <x:c r="Y37" s="102" t="n">
        <x:v>46218</x:v>
      </x:c>
      <x:c r="Z37" s="164" t="n">
        <x:f>IF(A37="","",ROUND(V37/INDEX($V$5:$V$87,MATCH($AA$3,$A$5:$A$87,0))*100,1))</x:f>
        <x:v>99.6</x:v>
      </x:c>
      <x:c r="AA37" s="166" t="n">
        <x:f>IF(V37="","",COUNTIF($V$5:$V$87,"&gt;"&amp;V37)+1)</x:f>
        <x:v>43</x:v>
      </x:c>
      <x:c r="AB37" s="162" t="str">
        <x:f>IF(Z37="","",IF(Z37&gt;='Lists'!$AL$9,'Lists'!$AK$9,IF(Z37&gt;='Lists'!$AL$8,'Lists'!$AK$8,IF(Z37&gt;='Lists'!$AL$7,'Lists'!$AK$7,IF(Z37&gt;='Lists'!$AL$6,'Lists'!$AK$6,'Lists'!$AK$5)))))</x:f>
        <x:v>メインストリーム</x:v>
      </x:c>
      <x:c r="AC37" s="164" t="n">
        <x:f>IF(OR(V37="",X37="",X37=0),"",ROUND(V37/X37,1))</x:f>
        <x:v>77.7</x:v>
      </x:c>
    </x:row>
    <x:row r="38" ht="38" customHeight="1">
      <x:c r="A38" s="12" t="str">
        <x:v>nvidia-geforce-rtx-2080-ti</x:v>
      </x:c>
      <x:c r="B38" s="12" t="str">
        <x:v>NVIDIA</x:v>
      </x:c>
      <x:c r="C38" s="12" t="str">
        <x:v>GeForce RTX 2080 Ti</x:v>
      </x:c>
      <x:c r="D38" s="12" t="str">
        <x:v>NVIDIA GeForce RTX 2080 Ti</x:v>
      </x:c>
      <x:c r="E38" s="12" t="str">
        <x:v>GeForce RTX 2080 Ti</x:v>
      </x:c>
      <x:c r="F38" s="12" t="str">
        <x:v>research_required</x:v>
      </x:c>
      <x:c r="G38" s="12" t="str">
        <x:v>unrated</x:v>
      </x:c>
      <x:c r="H38" s="102" t="n">
        <x:v>46218</x:v>
      </x:c>
      <x:c r="I38" s="14" t="str">
        <x:v>GPUチップ性能比較用の基準レコード。実製品の冷却・騒音・寸法・保証はGPUシートのボードSKUで別評価します。</x:v>
      </x:c>
      <x:c r="J38" s="14"/>
      <x:c r="K38" s="14"/>
      <x:c r="L38" s="14" t="str">
        <x:v>ボードメーカー別の品質・保証・電源・寸法は未評価</x:v>
      </x:c>
      <x:c r="M38" s="14" t="str">
        <x:v>PassMark値は2026-07-15確認時点。販売商品への自動承認には使用せず、個別ボードSKUを別途登録してください。</x:v>
      </x:c>
      <x:c r="N38" s="12" t="str">
        <x:v>Turing</x:v>
      </x:c>
      <x:c r="O38" s="12" t="str">
        <x:v>GeForce RTX 20 Series</x:v>
      </x:c>
      <x:c r="P38" s="102" t="n">
        <x:v>43370</x:v>
      </x:c>
      <x:c r="Q38" s="12" t="str">
        <x:v>2018-09-27</x:v>
      </x:c>
      <x:c r="R38" s="12" t="str">
        <x:v>exact</x:v>
      </x:c>
      <x:c r="S38" s="104" t="n">
        <x:v>11</x:v>
      </x:c>
      <x:c r="T38" s="12" t="str">
        <x:v>GDDR6</x:v>
      </x:c>
      <x:c r="U38" s="105" t="n">
        <x:v>352</x:v>
      </x:c>
      <x:c r="V38" s="105" t="n">
        <x:v>21434</x:v>
      </x:c>
      <x:c r="W38" s="105" t="n">
        <x:v>925</x:v>
      </x:c>
      <x:c r="X38" s="105" t="n">
        <x:v>250</x:v>
      </x:c>
      <x:c r="Y38" s="102" t="n">
        <x:v>46218</x:v>
      </x:c>
      <x:c r="Z38" s="165" t="n">
        <x:f>IF(A38="","",ROUND(V38/INDEX($V$5:$V$87,MATCH($AA$3,$A$5:$A$87,0))*100,1))</x:f>
        <x:v>110</x:v>
      </x:c>
      <x:c r="AA38" s="167" t="n">
        <x:f>IF(V38="","",COUNTIF($V$5:$V$87,"&gt;"&amp;V38)+1)</x:f>
        <x:v>35</x:v>
      </x:c>
      <x:c r="AB38" s="163" t="str">
        <x:f>IF(Z38="","",IF(Z38&gt;='Lists'!$AL$9,'Lists'!$AK$9,IF(Z38&gt;='Lists'!$AL$8,'Lists'!$AK$8,IF(Z38&gt;='Lists'!$AL$7,'Lists'!$AK$7,IF(Z38&gt;='Lists'!$AL$6,'Lists'!$AK$6,'Lists'!$AK$5)))))</x:f>
        <x:v>ミドルレンジ</x:v>
      </x:c>
      <x:c r="AC38" s="165" t="n">
        <x:f>IF(OR(V38="",X38="",X38=0),"",ROUND(V38/X38,1))</x:f>
        <x:v>85.7</x:v>
      </x:c>
    </x:row>
    <x:row r="39" ht="38" customHeight="1">
      <x:c r="A39" s="12" t="str">
        <x:v>nvidia-geforce-rtx-3050-6gb</x:v>
      </x:c>
      <x:c r="B39" s="12" t="str">
        <x:v>NVIDIA</x:v>
      </x:c>
      <x:c r="C39" s="12" t="str">
        <x:v>GeForce RTX 3050 6GB</x:v>
      </x:c>
      <x:c r="D39" s="12" t="str">
        <x:v>NVIDIA GeForce RTX 3050 6GB</x:v>
      </x:c>
      <x:c r="E39" s="12" t="str">
        <x:v>GeForce RTX 3050 6GB</x:v>
      </x:c>
      <x:c r="F39" s="12" t="str">
        <x:v>research_required</x:v>
      </x:c>
      <x:c r="G39" s="12" t="str">
        <x:v>unrated</x:v>
      </x:c>
      <x:c r="H39" s="102" t="n">
        <x:v>46218</x:v>
      </x:c>
      <x:c r="I39" s="14" t="str">
        <x:v>GPUチップ性能比較用の基準レコード。実製品の冷却・騒音・寸法・保証はGPUシートのボードSKUで別評価します。</x:v>
      </x:c>
      <x:c r="J39" s="14"/>
      <x:c r="K39" s="14"/>
      <x:c r="L39" s="14" t="str">
        <x:v>ボードメーカー別の品質・保証・電源・寸法は未評価</x:v>
      </x:c>
      <x:c r="M39" s="14" t="str">
        <x:v>PassMark値は2026-07-15確認時点。販売商品への自動承認には使用せず、個別ボードSKUを別途登録してください。</x:v>
      </x:c>
      <x:c r="N39" s="12" t="str">
        <x:v>Ampere</x:v>
      </x:c>
      <x:c r="O39" s="12" t="str">
        <x:v>GeForce RTX 30 Series</x:v>
      </x:c>
      <x:c r="P39" s="102"/>
      <x:c r="Q39" s="12" t="str">
        <x:v>2024-02</x:v>
      </x:c>
      <x:c r="R39" s="12" t="str">
        <x:v>month</x:v>
      </x:c>
      <x:c r="S39" s="104" t="n">
        <x:v>6</x:v>
      </x:c>
      <x:c r="T39" s="12" t="str">
        <x:v>GDDR6</x:v>
      </x:c>
      <x:c r="U39" s="105" t="n">
        <x:v>96</x:v>
      </x:c>
      <x:c r="V39" s="105" t="n">
        <x:v>10743</x:v>
      </x:c>
      <x:c r="W39" s="105" t="n">
        <x:v>882</x:v>
      </x:c>
      <x:c r="X39" s="105" t="n">
        <x:v>70</x:v>
      </x:c>
      <x:c r="Y39" s="102" t="n">
        <x:v>46218</x:v>
      </x:c>
      <x:c r="Z39" s="164" t="n">
        <x:f>IF(A39="","",ROUND(V39/INDEX($V$5:$V$87,MATCH($AA$3,$A$5:$A$87,0))*100,1))</x:f>
        <x:v>55.1</x:v>
      </x:c>
      <x:c r="AA39" s="166" t="n">
        <x:f>IF(V39="","",COUNTIF($V$5:$V$87,"&gt;"&amp;V39)+1)</x:f>
        <x:v>61</x:v>
      </x:c>
      <x:c r="AB39" s="162" t="str">
        <x:f>IF(Z39="","",IF(Z39&gt;='Lists'!$AL$9,'Lists'!$AK$9,IF(Z39&gt;='Lists'!$AL$8,'Lists'!$AK$8,IF(Z39&gt;='Lists'!$AL$7,'Lists'!$AK$7,IF(Z39&gt;='Lists'!$AL$6,'Lists'!$AK$6,'Lists'!$AK$5)))))</x:f>
        <x:v>エントリー</x:v>
      </x:c>
      <x:c r="AC39" s="164" t="n">
        <x:f>IF(OR(V39="",X39="",X39=0),"",ROUND(V39/X39,1))</x:f>
        <x:v>153.5</x:v>
      </x:c>
    </x:row>
    <x:row r="40" ht="38" customHeight="1">
      <x:c r="A40" s="12" t="str">
        <x:v>nvidia-geforce-rtx-3050-8gb</x:v>
      </x:c>
      <x:c r="B40" s="12" t="str">
        <x:v>NVIDIA</x:v>
      </x:c>
      <x:c r="C40" s="12" t="str">
        <x:v>GeForce RTX 3050 8GB</x:v>
      </x:c>
      <x:c r="D40" s="12" t="str">
        <x:v>NVIDIA GeForce RTX 3050 8GB</x:v>
      </x:c>
      <x:c r="E40" s="12" t="str">
        <x:v>GeForce RTX 3050 8GB</x:v>
      </x:c>
      <x:c r="F40" s="12" t="str">
        <x:v>research_required</x:v>
      </x:c>
      <x:c r="G40" s="12" t="str">
        <x:v>unrated</x:v>
      </x:c>
      <x:c r="H40" s="102" t="n">
        <x:v>46218</x:v>
      </x:c>
      <x:c r="I40" s="14" t="str">
        <x:v>GPUチップ性能比較用の基準レコード。実製品の冷却・騒音・寸法・保証はGPUシートのボードSKUで別評価します。</x:v>
      </x:c>
      <x:c r="J40" s="14"/>
      <x:c r="K40" s="14"/>
      <x:c r="L40" s="14" t="str">
        <x:v>ボードメーカー別の品質・保証・電源・寸法は未評価</x:v>
      </x:c>
      <x:c r="M40" s="14" t="str">
        <x:v>PassMark値は2026-07-15確認時点。販売商品への自動承認には使用せず、個別ボードSKUを別途登録してください。</x:v>
      </x:c>
      <x:c r="N40" s="12" t="str">
        <x:v>Ampere</x:v>
      </x:c>
      <x:c r="O40" s="12" t="str">
        <x:v>GeForce RTX 30 Series</x:v>
      </x:c>
      <x:c r="P40" s="102" t="n">
        <x:v>44588</x:v>
      </x:c>
      <x:c r="Q40" s="12" t="str">
        <x:v>2022-01-27</x:v>
      </x:c>
      <x:c r="R40" s="12" t="str">
        <x:v>exact</x:v>
      </x:c>
      <x:c r="S40" s="104" t="n">
        <x:v>8</x:v>
      </x:c>
      <x:c r="T40" s="12" t="str">
        <x:v>GDDR6</x:v>
      </x:c>
      <x:c r="U40" s="105" t="n">
        <x:v>128</x:v>
      </x:c>
      <x:c r="V40" s="105" t="n">
        <x:v>12485</x:v>
      </x:c>
      <x:c r="W40" s="105" t="n">
        <x:v>918</x:v>
      </x:c>
      <x:c r="X40" s="105" t="n">
        <x:v>130</x:v>
      </x:c>
      <x:c r="Y40" s="102" t="n">
        <x:v>46218</x:v>
      </x:c>
      <x:c r="Z40" s="165" t="n">
        <x:f>IF(A40="","",ROUND(V40/INDEX($V$5:$V$87,MATCH($AA$3,$A$5:$A$87,0))*100,1))</x:f>
        <x:v>64</x:v>
      </x:c>
      <x:c r="AA40" s="167" t="n">
        <x:f>IF(V40="","",COUNTIF($V$5:$V$87,"&gt;"&amp;V40)+1)</x:f>
        <x:v>60</x:v>
      </x:c>
      <x:c r="AB40" s="163" t="str">
        <x:f>IF(Z40="","",IF(Z40&gt;='Lists'!$AL$9,'Lists'!$AK$9,IF(Z40&gt;='Lists'!$AL$8,'Lists'!$AK$8,IF(Z40&gt;='Lists'!$AL$7,'Lists'!$AK$7,IF(Z40&gt;='Lists'!$AL$6,'Lists'!$AK$6,'Lists'!$AK$5)))))</x:f>
        <x:v>エントリー</x:v>
      </x:c>
      <x:c r="AC40" s="165" t="n">
        <x:f>IF(OR(V40="",X40="",X40=0),"",ROUND(V40/X40,1))</x:f>
        <x:v>96</x:v>
      </x:c>
    </x:row>
    <x:row r="41" ht="38" customHeight="1">
      <x:c r="A41" s="12" t="str">
        <x:v>nvidia-geforce-rtx-3060-8gb</x:v>
      </x:c>
      <x:c r="B41" s="12" t="str">
        <x:v>NVIDIA</x:v>
      </x:c>
      <x:c r="C41" s="12" t="str">
        <x:v>GeForce RTX 3060 8GB</x:v>
      </x:c>
      <x:c r="D41" s="12" t="str">
        <x:v>NVIDIA GeForce RTX 3060 8GB</x:v>
      </x:c>
      <x:c r="E41" s="12" t="str">
        <x:v>GeForce RTX 3060 8GB</x:v>
      </x:c>
      <x:c r="F41" s="12" t="str">
        <x:v>research_required</x:v>
      </x:c>
      <x:c r="G41" s="12" t="str">
        <x:v>unrated</x:v>
      </x:c>
      <x:c r="H41" s="102" t="n">
        <x:v>46218</x:v>
      </x:c>
      <x:c r="I41" s="14" t="str">
        <x:v>GPUチップ性能比較用の基準レコード。実製品の冷却・騒音・寸法・保証はGPUシートのボードSKUで別評価します。</x:v>
      </x:c>
      <x:c r="J41" s="14"/>
      <x:c r="K41" s="14"/>
      <x:c r="L41" s="14" t="str">
        <x:v>ボードメーカー別の品質・保証・電源・寸法は未評価</x:v>
      </x:c>
      <x:c r="M41" s="14" t="str">
        <x:v>PassMark値は2026-07-15確認時点。販売商品への自動承認には使用せず、個別ボードSKUを別途登録してください。</x:v>
      </x:c>
      <x:c r="N41" s="12" t="str">
        <x:v>Ampere</x:v>
      </x:c>
      <x:c r="O41" s="12" t="str">
        <x:v>GeForce RTX 30 Series</x:v>
      </x:c>
      <x:c r="P41" s="102"/>
      <x:c r="Q41" s="12" t="str">
        <x:v>Q4'22</x:v>
      </x:c>
      <x:c r="R41" s="12" t="str">
        <x:v>quarter</x:v>
      </x:c>
      <x:c r="S41" s="104" t="n">
        <x:v>8</x:v>
      </x:c>
      <x:c r="T41" s="12" t="str">
        <x:v>GDDR6</x:v>
      </x:c>
      <x:c r="U41" s="105" t="n">
        <x:v>128</x:v>
      </x:c>
      <x:c r="V41" s="105" t="n">
        <x:v>15203</x:v>
      </x:c>
      <x:c r="W41" s="105" t="n">
        <x:v>974</x:v>
      </x:c>
      <x:c r="X41" s="105" t="n">
        <x:v>170</x:v>
      </x:c>
      <x:c r="Y41" s="102" t="n">
        <x:v>46218</x:v>
      </x:c>
      <x:c r="Z41" s="164" t="n">
        <x:f>IF(A41="","",ROUND(V41/INDEX($V$5:$V$87,MATCH($AA$3,$A$5:$A$87,0))*100,1))</x:f>
        <x:v>78</x:v>
      </x:c>
      <x:c r="AA41" s="166" t="n">
        <x:f>IF(V41="","",COUNTIF($V$5:$V$87,"&gt;"&amp;V41)+1)</x:f>
        <x:v>57</x:v>
      </x:c>
      <x:c r="AB41" s="162" t="str">
        <x:f>IF(Z41="","",IF(Z41&gt;='Lists'!$AL$9,'Lists'!$AK$9,IF(Z41&gt;='Lists'!$AL$8,'Lists'!$AK$8,IF(Z41&gt;='Lists'!$AL$7,'Lists'!$AK$7,IF(Z41&gt;='Lists'!$AL$6,'Lists'!$AK$6,'Lists'!$AK$5)))))</x:f>
        <x:v>メインストリーム</x:v>
      </x:c>
      <x:c r="AC41" s="164" t="n">
        <x:f>IF(OR(V41="",X41="",X41=0),"",ROUND(V41/X41,1))</x:f>
        <x:v>89.4</x:v>
      </x:c>
    </x:row>
    <x:row r="42" ht="38" customHeight="1">
      <x:c r="A42" s="12" t="str">
        <x:v>nvidia-geforce-rtx-3060-12gb</x:v>
      </x:c>
      <x:c r="B42" s="12" t="str">
        <x:v>NVIDIA</x:v>
      </x:c>
      <x:c r="C42" s="12" t="str">
        <x:v>GeForce RTX 3060 12GB</x:v>
      </x:c>
      <x:c r="D42" s="12" t="str">
        <x:v>NVIDIA GeForce RTX 3060 12GB</x:v>
      </x:c>
      <x:c r="E42" s="12" t="str">
        <x:v>GeForce RTX 3060 12GB</x:v>
      </x:c>
      <x:c r="F42" s="12" t="str">
        <x:v>research_required</x:v>
      </x:c>
      <x:c r="G42" s="12" t="str">
        <x:v>unrated</x:v>
      </x:c>
      <x:c r="H42" s="102" t="n">
        <x:v>46218</x:v>
      </x:c>
      <x:c r="I42" s="14" t="str">
        <x:v>GPUチップ性能比較用の基準レコード。実製品の冷却・騒音・寸法・保証はGPUシートのボードSKUで別評価します。</x:v>
      </x:c>
      <x:c r="J42" s="14"/>
      <x:c r="K42" s="14"/>
      <x:c r="L42" s="14" t="str">
        <x:v>ボードメーカー別の品質・保証・電源・寸法は未評価</x:v>
      </x:c>
      <x:c r="M42" s="14" t="str">
        <x:v>PassMark値は2026-07-15確認時点。販売商品への自動承認には使用せず、個別ボードSKUを別途登録してください。</x:v>
      </x:c>
      <x:c r="N42" s="12" t="str">
        <x:v>Ampere</x:v>
      </x:c>
      <x:c r="O42" s="12" t="str">
        <x:v>GeForce RTX 30 Series</x:v>
      </x:c>
      <x:c r="P42" s="102" t="n">
        <x:v>44252</x:v>
      </x:c>
      <x:c r="Q42" s="12" t="str">
        <x:v>2021-02-25</x:v>
      </x:c>
      <x:c r="R42" s="12" t="str">
        <x:v>exact</x:v>
      </x:c>
      <x:c r="S42" s="104" t="n">
        <x:v>12</x:v>
      </x:c>
      <x:c r="T42" s="12" t="str">
        <x:v>GDDR6</x:v>
      </x:c>
      <x:c r="U42" s="105" t="n">
        <x:v>192</x:v>
      </x:c>
      <x:c r="V42" s="105" t="n">
        <x:v>16716</x:v>
      </x:c>
      <x:c r="W42" s="105" t="n">
        <x:v>965</x:v>
      </x:c>
      <x:c r="X42" s="105" t="n">
        <x:v>170</x:v>
      </x:c>
      <x:c r="Y42" s="102" t="n">
        <x:v>46218</x:v>
      </x:c>
      <x:c r="Z42" s="165" t="n">
        <x:f>IF(A42="","",ROUND(V42/INDEX($V$5:$V$87,MATCH($AA$3,$A$5:$A$87,0))*100,1))</x:f>
        <x:v>85.7</x:v>
      </x:c>
      <x:c r="AA42" s="167" t="n">
        <x:f>IF(V42="","",COUNTIF($V$5:$V$87,"&gt;"&amp;V42)+1)</x:f>
        <x:v>51</x:v>
      </x:c>
      <x:c r="AB42" s="163" t="str">
        <x:f>IF(Z42="","",IF(Z42&gt;='Lists'!$AL$9,'Lists'!$AK$9,IF(Z42&gt;='Lists'!$AL$8,'Lists'!$AK$8,IF(Z42&gt;='Lists'!$AL$7,'Lists'!$AK$7,IF(Z42&gt;='Lists'!$AL$6,'Lists'!$AK$6,'Lists'!$AK$5)))))</x:f>
        <x:v>メインストリーム</x:v>
      </x:c>
      <x:c r="AC42" s="165" t="n">
        <x:f>IF(OR(V42="",X42="",X42=0),"",ROUND(V42/X42,1))</x:f>
        <x:v>98.3</x:v>
      </x:c>
    </x:row>
    <x:row r="43" ht="38" customHeight="1">
      <x:c r="A43" s="12" t="str">
        <x:v>nvidia-geforce-rtx-3060-ti</x:v>
      </x:c>
      <x:c r="B43" s="12" t="str">
        <x:v>NVIDIA</x:v>
      </x:c>
      <x:c r="C43" s="12" t="str">
        <x:v>GeForce RTX 3060 Ti</x:v>
      </x:c>
      <x:c r="D43" s="12" t="str">
        <x:v>NVIDIA GeForce RTX 3060 Ti</x:v>
      </x:c>
      <x:c r="E43" s="12" t="str">
        <x:v>GeForce RTX 3060 Ti</x:v>
      </x:c>
      <x:c r="F43" s="12" t="str">
        <x:v>research_required</x:v>
      </x:c>
      <x:c r="G43" s="12" t="str">
        <x:v>unrated</x:v>
      </x:c>
      <x:c r="H43" s="102" t="n">
        <x:v>46218</x:v>
      </x:c>
      <x:c r="I43" s="14" t="str">
        <x:v>GPUチップ性能比較用の基準レコード。実製品の冷却・騒音・寸法・保証はGPUシートのボードSKUで別評価します。</x:v>
      </x:c>
      <x:c r="J43" s="14"/>
      <x:c r="K43" s="14"/>
      <x:c r="L43" s="14" t="str">
        <x:v>ボードメーカー別の品質・保証・電源・寸法は未評価</x:v>
      </x:c>
      <x:c r="M43" s="14" t="str">
        <x:v>PassMark値は2026-07-15確認時点。販売商品への自動承認には使用せず、個別ボードSKUを別途登録してください。</x:v>
      </x:c>
      <x:c r="N43" s="12" t="str">
        <x:v>Ampere</x:v>
      </x:c>
      <x:c r="O43" s="12" t="str">
        <x:v>GeForce RTX 30 Series</x:v>
      </x:c>
      <x:c r="P43" s="102" t="n">
        <x:v>44167</x:v>
      </x:c>
      <x:c r="Q43" s="12" t="str">
        <x:v>2020-12-02</x:v>
      </x:c>
      <x:c r="R43" s="12" t="str">
        <x:v>exact</x:v>
      </x:c>
      <x:c r="S43" s="104" t="n">
        <x:v>8</x:v>
      </x:c>
      <x:c r="T43" s="12" t="str">
        <x:v>GDDR6</x:v>
      </x:c>
      <x:c r="U43" s="105" t="n">
        <x:v>256</x:v>
      </x:c>
      <x:c r="V43" s="105" t="n">
        <x:v>20240</x:v>
      </x:c>
      <x:c r="W43" s="105" t="n">
        <x:v>989</x:v>
      </x:c>
      <x:c r="X43" s="105" t="n">
        <x:v>200</x:v>
      </x:c>
      <x:c r="Y43" s="102" t="n">
        <x:v>46218</x:v>
      </x:c>
      <x:c r="Z43" s="164" t="n">
        <x:f>IF(A43="","",ROUND(V43/INDEX($V$5:$V$87,MATCH($AA$3,$A$5:$A$87,0))*100,1))</x:f>
        <x:v>103.8</x:v>
      </x:c>
      <x:c r="AA43" s="166" t="n">
        <x:f>IF(V43="","",COUNTIF($V$5:$V$87,"&gt;"&amp;V43)+1)</x:f>
        <x:v>38</x:v>
      </x:c>
      <x:c r="AB43" s="162" t="str">
        <x:f>IF(Z43="","",IF(Z43&gt;='Lists'!$AL$9,'Lists'!$AK$9,IF(Z43&gt;='Lists'!$AL$8,'Lists'!$AK$8,IF(Z43&gt;='Lists'!$AL$7,'Lists'!$AK$7,IF(Z43&gt;='Lists'!$AL$6,'Lists'!$AK$6,'Lists'!$AK$5)))))</x:f>
        <x:v>メインストリーム</x:v>
      </x:c>
      <x:c r="AC43" s="164" t="n">
        <x:f>IF(OR(V43="",X43="",X43=0),"",ROUND(V43/X43,1))</x:f>
        <x:v>101.2</x:v>
      </x:c>
    </x:row>
    <x:row r="44" ht="38" customHeight="1">
      <x:c r="A44" s="12" t="str">
        <x:v>nvidia-geforce-rtx-3070</x:v>
      </x:c>
      <x:c r="B44" s="12" t="str">
        <x:v>NVIDIA</x:v>
      </x:c>
      <x:c r="C44" s="12" t="str">
        <x:v>GeForce RTX 3070</x:v>
      </x:c>
      <x:c r="D44" s="12" t="str">
        <x:v>NVIDIA GeForce RTX 3070</x:v>
      </x:c>
      <x:c r="E44" s="12" t="str">
        <x:v>GeForce RTX 3070</x:v>
      </x:c>
      <x:c r="F44" s="12" t="str">
        <x:v>research_required</x:v>
      </x:c>
      <x:c r="G44" s="12" t="str">
        <x:v>unrated</x:v>
      </x:c>
      <x:c r="H44" s="102" t="n">
        <x:v>46218</x:v>
      </x:c>
      <x:c r="I44" s="14" t="str">
        <x:v>GPUチップ性能比較用の基準レコード。実製品の冷却・騒音・寸法・保証はGPUシートのボードSKUで別評価します。</x:v>
      </x:c>
      <x:c r="J44" s="14"/>
      <x:c r="K44" s="14"/>
      <x:c r="L44" s="14" t="str">
        <x:v>ボードメーカー別の品質・保証・電源・寸法は未評価</x:v>
      </x:c>
      <x:c r="M44" s="14" t="str">
        <x:v>PassMark値は2026-07-15確認時点。販売商品への自動承認には使用せず、個別ボードSKUを別途登録してください。</x:v>
      </x:c>
      <x:c r="N44" s="12" t="str">
        <x:v>Ampere</x:v>
      </x:c>
      <x:c r="O44" s="12" t="str">
        <x:v>GeForce RTX 30 Series</x:v>
      </x:c>
      <x:c r="P44" s="102" t="n">
        <x:v>44133</x:v>
      </x:c>
      <x:c r="Q44" s="12" t="str">
        <x:v>2020-10-29</x:v>
      </x:c>
      <x:c r="R44" s="12" t="str">
        <x:v>exact</x:v>
      </x:c>
      <x:c r="S44" s="104" t="n">
        <x:v>8</x:v>
      </x:c>
      <x:c r="T44" s="12" t="str">
        <x:v>GDDR6</x:v>
      </x:c>
      <x:c r="U44" s="105" t="n">
        <x:v>256</x:v>
      </x:c>
      <x:c r="V44" s="105" t="n">
        <x:v>22095</x:v>
      </x:c>
      <x:c r="W44" s="105" t="n">
        <x:v>1005</x:v>
      </x:c>
      <x:c r="X44" s="105" t="n">
        <x:v>220</x:v>
      </x:c>
      <x:c r="Y44" s="102" t="n">
        <x:v>46218</x:v>
      </x:c>
      <x:c r="Z44" s="165" t="n">
        <x:f>IF(A44="","",ROUND(V44/INDEX($V$5:$V$87,MATCH($AA$3,$A$5:$A$87,0))*100,1))</x:f>
        <x:v>113.3</x:v>
      </x:c>
      <x:c r="AA44" s="167" t="n">
        <x:f>IF(V44="","",COUNTIF($V$5:$V$87,"&gt;"&amp;V44)+1)</x:f>
        <x:v>32</x:v>
      </x:c>
      <x:c r="AB44" s="163" t="str">
        <x:f>IF(Z44="","",IF(Z44&gt;='Lists'!$AL$9,'Lists'!$AK$9,IF(Z44&gt;='Lists'!$AL$8,'Lists'!$AK$8,IF(Z44&gt;='Lists'!$AL$7,'Lists'!$AK$7,IF(Z44&gt;='Lists'!$AL$6,'Lists'!$AK$6,'Lists'!$AK$5)))))</x:f>
        <x:v>ミドルレンジ</x:v>
      </x:c>
      <x:c r="AC44" s="165" t="n">
        <x:f>IF(OR(V44="",X44="",X44=0),"",ROUND(V44/X44,1))</x:f>
        <x:v>100.4</x:v>
      </x:c>
    </x:row>
    <x:row r="45" ht="38" customHeight="1">
      <x:c r="A45" s="12" t="str">
        <x:v>nvidia-geforce-rtx-3070-ti</x:v>
      </x:c>
      <x:c r="B45" s="12" t="str">
        <x:v>NVIDIA</x:v>
      </x:c>
      <x:c r="C45" s="12" t="str">
        <x:v>GeForce RTX 3070 Ti</x:v>
      </x:c>
      <x:c r="D45" s="12" t="str">
        <x:v>NVIDIA GeForce RTX 3070 Ti</x:v>
      </x:c>
      <x:c r="E45" s="12" t="str">
        <x:v>GeForce RTX 3070 Ti</x:v>
      </x:c>
      <x:c r="F45" s="12" t="str">
        <x:v>research_required</x:v>
      </x:c>
      <x:c r="G45" s="12" t="str">
        <x:v>unrated</x:v>
      </x:c>
      <x:c r="H45" s="102" t="n">
        <x:v>46218</x:v>
      </x:c>
      <x:c r="I45" s="14" t="str">
        <x:v>GPUチップ性能比較用の基準レコード。実製品の冷却・騒音・寸法・保証はGPUシートのボードSKUで別評価します。</x:v>
      </x:c>
      <x:c r="J45" s="14"/>
      <x:c r="K45" s="14"/>
      <x:c r="L45" s="14" t="str">
        <x:v>ボードメーカー別の品質・保証・電源・寸法は未評価</x:v>
      </x:c>
      <x:c r="M45" s="14" t="str">
        <x:v>PassMark値は2026-07-15確認時点。販売商品への自動承認には使用せず、個別ボードSKUを別途登録してください。</x:v>
      </x:c>
      <x:c r="N45" s="12" t="str">
        <x:v>Ampere</x:v>
      </x:c>
      <x:c r="O45" s="12" t="str">
        <x:v>GeForce RTX 30 Series</x:v>
      </x:c>
      <x:c r="P45" s="102" t="n">
        <x:v>44357</x:v>
      </x:c>
      <x:c r="Q45" s="12" t="str">
        <x:v>2021-06-10</x:v>
      </x:c>
      <x:c r="R45" s="12" t="str">
        <x:v>exact</x:v>
      </x:c>
      <x:c r="S45" s="104" t="n">
        <x:v>8</x:v>
      </x:c>
      <x:c r="T45" s="12" t="str">
        <x:v>GDDR6X</x:v>
      </x:c>
      <x:c r="U45" s="105" t="n">
        <x:v>256</x:v>
      </x:c>
      <x:c r="V45" s="105" t="n">
        <x:v>23196</x:v>
      </x:c>
      <x:c r="W45" s="105" t="n">
        <x:v>1058</x:v>
      </x:c>
      <x:c r="X45" s="105" t="n">
        <x:v>290</x:v>
      </x:c>
      <x:c r="Y45" s="102" t="n">
        <x:v>46218</x:v>
      </x:c>
      <x:c r="Z45" s="164" t="n">
        <x:f>IF(A45="","",ROUND(V45/INDEX($V$5:$V$87,MATCH($AA$3,$A$5:$A$87,0))*100,1))</x:f>
        <x:v>119</x:v>
      </x:c>
      <x:c r="AA45" s="166" t="n">
        <x:f>IF(V45="","",COUNTIF($V$5:$V$87,"&gt;"&amp;V45)+1)</x:f>
        <x:v>27</x:v>
      </x:c>
      <x:c r="AB45" s="162" t="str">
        <x:f>IF(Z45="","",IF(Z45&gt;='Lists'!$AL$9,'Lists'!$AK$9,IF(Z45&gt;='Lists'!$AL$8,'Lists'!$AK$8,IF(Z45&gt;='Lists'!$AL$7,'Lists'!$AK$7,IF(Z45&gt;='Lists'!$AL$6,'Lists'!$AK$6,'Lists'!$AK$5)))))</x:f>
        <x:v>ミドルレンジ</x:v>
      </x:c>
      <x:c r="AC45" s="164" t="n">
        <x:f>IF(OR(V45="",X45="",X45=0),"",ROUND(V45/X45,1))</x:f>
        <x:v>80</x:v>
      </x:c>
    </x:row>
    <x:row r="46" ht="38" customHeight="1">
      <x:c r="A46" s="12" t="str">
        <x:v>nvidia-geforce-rtx-3080</x:v>
      </x:c>
      <x:c r="B46" s="12" t="str">
        <x:v>NVIDIA</x:v>
      </x:c>
      <x:c r="C46" s="12" t="str">
        <x:v>GeForce RTX 3080</x:v>
      </x:c>
      <x:c r="D46" s="12" t="str">
        <x:v>NVIDIA GeForce RTX 3080</x:v>
      </x:c>
      <x:c r="E46" s="12" t="str">
        <x:v>GeForce RTX 3080</x:v>
      </x:c>
      <x:c r="F46" s="12" t="str">
        <x:v>research_required</x:v>
      </x:c>
      <x:c r="G46" s="12" t="str">
        <x:v>unrated</x:v>
      </x:c>
      <x:c r="H46" s="102" t="n">
        <x:v>46218</x:v>
      </x:c>
      <x:c r="I46" s="14" t="str">
        <x:v>GPUチップ性能比較用の基準レコード。実製品の冷却・騒音・寸法・保証はGPUシートのボードSKUで別評価します。</x:v>
      </x:c>
      <x:c r="J46" s="14"/>
      <x:c r="K46" s="14"/>
      <x:c r="L46" s="14" t="str">
        <x:v>ボードメーカー別の品質・保証・電源・寸法は未評価</x:v>
      </x:c>
      <x:c r="M46" s="14" t="str">
        <x:v>PassMark値は2026-07-15確認時点。販売商品への自動承認には使用せず、個別ボードSKUを別途登録してください。</x:v>
      </x:c>
      <x:c r="N46" s="12" t="str">
        <x:v>Ampere</x:v>
      </x:c>
      <x:c r="O46" s="12" t="str">
        <x:v>GeForce RTX 30 Series</x:v>
      </x:c>
      <x:c r="P46" s="102" t="n">
        <x:v>44091</x:v>
      </x:c>
      <x:c r="Q46" s="12" t="str">
        <x:v>2020-09-17</x:v>
      </x:c>
      <x:c r="R46" s="12" t="str">
        <x:v>exact</x:v>
      </x:c>
      <x:c r="S46" s="104" t="n">
        <x:v>10</x:v>
      </x:c>
      <x:c r="T46" s="12" t="str">
        <x:v>GDDR6X</x:v>
      </x:c>
      <x:c r="U46" s="105" t="n">
        <x:v>320</x:v>
      </x:c>
      <x:c r="V46" s="105" t="n">
        <x:v>25001</x:v>
      </x:c>
      <x:c r="W46" s="105" t="n">
        <x:v>1062</x:v>
      </x:c>
      <x:c r="X46" s="105" t="n">
        <x:v>320</x:v>
      </x:c>
      <x:c r="Y46" s="102" t="n">
        <x:v>46218</x:v>
      </x:c>
      <x:c r="Z46" s="165" t="n">
        <x:f>IF(A46="","",ROUND(V46/INDEX($V$5:$V$87,MATCH($AA$3,$A$5:$A$87,0))*100,1))</x:f>
        <x:v>128.2</x:v>
      </x:c>
      <x:c r="AA46" s="167" t="n">
        <x:f>IF(V46="","",COUNTIF($V$5:$V$87,"&gt;"&amp;V46)+1)</x:f>
        <x:v>24</x:v>
      </x:c>
      <x:c r="AB46" s="163" t="str">
        <x:f>IF(Z46="","",IF(Z46&gt;='Lists'!$AL$9,'Lists'!$AK$9,IF(Z46&gt;='Lists'!$AL$8,'Lists'!$AK$8,IF(Z46&gt;='Lists'!$AL$7,'Lists'!$AK$7,IF(Z46&gt;='Lists'!$AL$6,'Lists'!$AK$6,'Lists'!$AK$5)))))</x:f>
        <x:v>ミドルレンジ</x:v>
      </x:c>
      <x:c r="AC46" s="165" t="n">
        <x:f>IF(OR(V46="",X46="",X46=0),"",ROUND(V46/X46,1))</x:f>
        <x:v>78.1</x:v>
      </x:c>
    </x:row>
    <x:row r="47" ht="38" customHeight="1">
      <x:c r="A47" s="12" t="str">
        <x:v>nvidia-geforce-rtx-3080-12gb</x:v>
      </x:c>
      <x:c r="B47" s="12" t="str">
        <x:v>NVIDIA</x:v>
      </x:c>
      <x:c r="C47" s="12" t="str">
        <x:v>GeForce RTX 3080 12GB</x:v>
      </x:c>
      <x:c r="D47" s="12" t="str">
        <x:v>NVIDIA GeForce RTX 3080 12GB</x:v>
      </x:c>
      <x:c r="E47" s="12" t="str">
        <x:v>GeForce RTX 3080 12GB</x:v>
      </x:c>
      <x:c r="F47" s="12" t="str">
        <x:v>research_required</x:v>
      </x:c>
      <x:c r="G47" s="12" t="str">
        <x:v>unrated</x:v>
      </x:c>
      <x:c r="H47" s="102" t="n">
        <x:v>46218</x:v>
      </x:c>
      <x:c r="I47" s="14" t="str">
        <x:v>GPUチップ性能比較用の基準レコード。実製品の冷却・騒音・寸法・保証はGPUシートのボードSKUで別評価します。</x:v>
      </x:c>
      <x:c r="J47" s="14"/>
      <x:c r="K47" s="14"/>
      <x:c r="L47" s="14" t="str">
        <x:v>ボードメーカー別の品質・保証・電源・寸法は未評価</x:v>
      </x:c>
      <x:c r="M47" s="14" t="str">
        <x:v>PassMark値は2026-07-15確認時点。販売商品への自動承認には使用せず、個別ボードSKUを別途登録してください。</x:v>
      </x:c>
      <x:c r="N47" s="12" t="str">
        <x:v>Ampere</x:v>
      </x:c>
      <x:c r="O47" s="12" t="str">
        <x:v>GeForce RTX 30 Series</x:v>
      </x:c>
      <x:c r="P47" s="102" t="n">
        <x:v>44572</x:v>
      </x:c>
      <x:c r="Q47" s="12" t="str">
        <x:v>2022-01-11</x:v>
      </x:c>
      <x:c r="R47" s="12" t="str">
        <x:v>exact</x:v>
      </x:c>
      <x:c r="S47" s="104" t="n">
        <x:v>12</x:v>
      </x:c>
      <x:c r="T47" s="12" t="str">
        <x:v>GDDR6X</x:v>
      </x:c>
      <x:c r="U47" s="105" t="n">
        <x:v>384</x:v>
      </x:c>
      <x:c r="V47" s="105" t="n">
        <x:v>26559</x:v>
      </x:c>
      <x:c r="W47" s="105" t="n">
        <x:v>1095</x:v>
      </x:c>
      <x:c r="X47" s="105" t="n">
        <x:v>350</x:v>
      </x:c>
      <x:c r="Y47" s="102" t="n">
        <x:v>46218</x:v>
      </x:c>
      <x:c r="Z47" s="164" t="n">
        <x:f>IF(A47="","",ROUND(V47/INDEX($V$5:$V$87,MATCH($AA$3,$A$5:$A$87,0))*100,1))</x:f>
        <x:v>136.2</x:v>
      </x:c>
      <x:c r="AA47" s="166" t="n">
        <x:f>IF(V47="","",COUNTIF($V$5:$V$87,"&gt;"&amp;V47)+1)</x:f>
        <x:v>20</x:v>
      </x:c>
      <x:c r="AB47" s="162" t="str">
        <x:f>IF(Z47="","",IF(Z47&gt;='Lists'!$AL$9,'Lists'!$AK$9,IF(Z47&gt;='Lists'!$AL$8,'Lists'!$AK$8,IF(Z47&gt;='Lists'!$AL$7,'Lists'!$AK$7,IF(Z47&gt;='Lists'!$AL$6,'Lists'!$AK$6,'Lists'!$AK$5)))))</x:f>
        <x:v>ミドルレンジ</x:v>
      </x:c>
      <x:c r="AC47" s="164" t="n">
        <x:f>IF(OR(V47="",X47="",X47=0),"",ROUND(V47/X47,1))</x:f>
        <x:v>75.9</x:v>
      </x:c>
    </x:row>
    <x:row r="48" ht="38" customHeight="1">
      <x:c r="A48" s="12" t="str">
        <x:v>nvidia-geforce-rtx-3080-ti</x:v>
      </x:c>
      <x:c r="B48" s="12" t="str">
        <x:v>NVIDIA</x:v>
      </x:c>
      <x:c r="C48" s="12" t="str">
        <x:v>GeForce RTX 3080 Ti</x:v>
      </x:c>
      <x:c r="D48" s="12" t="str">
        <x:v>NVIDIA GeForce RTX 3080 Ti</x:v>
      </x:c>
      <x:c r="E48" s="12" t="str">
        <x:v>GeForce RTX 3080 Ti</x:v>
      </x:c>
      <x:c r="F48" s="12" t="str">
        <x:v>research_required</x:v>
      </x:c>
      <x:c r="G48" s="12" t="str">
        <x:v>unrated</x:v>
      </x:c>
      <x:c r="H48" s="102" t="n">
        <x:v>46218</x:v>
      </x:c>
      <x:c r="I48" s="14" t="str">
        <x:v>GPUチップ性能比較用の基準レコード。実製品の冷却・騒音・寸法・保証はGPUシートのボードSKUで別評価します。</x:v>
      </x:c>
      <x:c r="J48" s="14"/>
      <x:c r="K48" s="14"/>
      <x:c r="L48" s="14" t="str">
        <x:v>ボードメーカー別の品質・保証・電源・寸法は未評価</x:v>
      </x:c>
      <x:c r="M48" s="14" t="str">
        <x:v>PassMark値は2026-07-15確認時点。販売商品への自動承認には使用せず、個別ボードSKUを別途登録してください。</x:v>
      </x:c>
      <x:c r="N48" s="12" t="str">
        <x:v>Ampere</x:v>
      </x:c>
      <x:c r="O48" s="12" t="str">
        <x:v>GeForce RTX 30 Series</x:v>
      </x:c>
      <x:c r="P48" s="102" t="n">
        <x:v>44350</x:v>
      </x:c>
      <x:c r="Q48" s="12" t="str">
        <x:v>2021-06-03</x:v>
      </x:c>
      <x:c r="R48" s="12" t="str">
        <x:v>exact</x:v>
      </x:c>
      <x:c r="S48" s="104" t="n">
        <x:v>12</x:v>
      </x:c>
      <x:c r="T48" s="12" t="str">
        <x:v>GDDR6X</x:v>
      </x:c>
      <x:c r="U48" s="105" t="n">
        <x:v>384</x:v>
      </x:c>
      <x:c r="V48" s="105" t="n">
        <x:v>26750</x:v>
      </x:c>
      <x:c r="W48" s="105" t="n">
        <x:v>1095</x:v>
      </x:c>
      <x:c r="X48" s="105" t="n">
        <x:v>350</x:v>
      </x:c>
      <x:c r="Y48" s="102" t="n">
        <x:v>46218</x:v>
      </x:c>
      <x:c r="Z48" s="165" t="n">
        <x:f>IF(A48="","",ROUND(V48/INDEX($V$5:$V$87,MATCH($AA$3,$A$5:$A$87,0))*100,1))</x:f>
        <x:v>137.2</x:v>
      </x:c>
      <x:c r="AA48" s="167" t="n">
        <x:f>IF(V48="","",COUNTIF($V$5:$V$87,"&gt;"&amp;V48)+1)</x:f>
        <x:v>18</x:v>
      </x:c>
      <x:c r="AB48" s="163" t="str">
        <x:f>IF(Z48="","",IF(Z48&gt;='Lists'!$AL$9,'Lists'!$AK$9,IF(Z48&gt;='Lists'!$AL$8,'Lists'!$AK$8,IF(Z48&gt;='Lists'!$AL$7,'Lists'!$AK$7,IF(Z48&gt;='Lists'!$AL$6,'Lists'!$AK$6,'Lists'!$AK$5)))))</x:f>
        <x:v>ミドルレンジ</x:v>
      </x:c>
      <x:c r="AC48" s="165" t="n">
        <x:f>IF(OR(V48="",X48="",X48=0),"",ROUND(V48/X48,1))</x:f>
        <x:v>76.4</x:v>
      </x:c>
    </x:row>
    <x:row r="49" ht="38" customHeight="1">
      <x:c r="A49" s="12" t="str">
        <x:v>nvidia-geforce-rtx-3090</x:v>
      </x:c>
      <x:c r="B49" s="12" t="str">
        <x:v>NVIDIA</x:v>
      </x:c>
      <x:c r="C49" s="12" t="str">
        <x:v>GeForce RTX 3090</x:v>
      </x:c>
      <x:c r="D49" s="12" t="str">
        <x:v>NVIDIA GeForce RTX 3090</x:v>
      </x:c>
      <x:c r="E49" s="12" t="str">
        <x:v>GeForce RTX 3090</x:v>
      </x:c>
      <x:c r="F49" s="12" t="str">
        <x:v>research_required</x:v>
      </x:c>
      <x:c r="G49" s="12" t="str">
        <x:v>unrated</x:v>
      </x:c>
      <x:c r="H49" s="102" t="n">
        <x:v>46218</x:v>
      </x:c>
      <x:c r="I49" s="14" t="str">
        <x:v>GPUチップ性能比較用の基準レコード。実製品の冷却・騒音・寸法・保証はGPUシートのボードSKUで別評価します。</x:v>
      </x:c>
      <x:c r="J49" s="14"/>
      <x:c r="K49" s="14"/>
      <x:c r="L49" s="14" t="str">
        <x:v>ボードメーカー別の品質・保証・電源・寸法は未評価</x:v>
      </x:c>
      <x:c r="M49" s="14" t="str">
        <x:v>PassMark値は2026-07-15確認時点。販売商品への自動承認には使用せず、個別ボードSKUを別途登録してください。</x:v>
      </x:c>
      <x:c r="N49" s="12" t="str">
        <x:v>Ampere</x:v>
      </x:c>
      <x:c r="O49" s="12" t="str">
        <x:v>GeForce RTX 30 Series</x:v>
      </x:c>
      <x:c r="P49" s="102" t="n">
        <x:v>44098</x:v>
      </x:c>
      <x:c r="Q49" s="12" t="str">
        <x:v>2020-09-24</x:v>
      </x:c>
      <x:c r="R49" s="12" t="str">
        <x:v>exact</x:v>
      </x:c>
      <x:c r="S49" s="104" t="n">
        <x:v>24</x:v>
      </x:c>
      <x:c r="T49" s="12" t="str">
        <x:v>GDDR6X</x:v>
      </x:c>
      <x:c r="U49" s="105" t="n">
        <x:v>384</x:v>
      </x:c>
      <x:c r="V49" s="105" t="n">
        <x:v>26518</x:v>
      </x:c>
      <x:c r="W49" s="105" t="n">
        <x:v>1069</x:v>
      </x:c>
      <x:c r="X49" s="105" t="n">
        <x:v>350</x:v>
      </x:c>
      <x:c r="Y49" s="102" t="n">
        <x:v>46218</x:v>
      </x:c>
      <x:c r="Z49" s="164" t="n">
        <x:f>IF(A49="","",ROUND(V49/INDEX($V$5:$V$87,MATCH($AA$3,$A$5:$A$87,0))*100,1))</x:f>
        <x:v>136</x:v>
      </x:c>
      <x:c r="AA49" s="166" t="n">
        <x:f>IF(V49="","",COUNTIF($V$5:$V$87,"&gt;"&amp;V49)+1)</x:f>
        <x:v>21</x:v>
      </x:c>
      <x:c r="AB49" s="162" t="str">
        <x:f>IF(Z49="","",IF(Z49&gt;='Lists'!$AL$9,'Lists'!$AK$9,IF(Z49&gt;='Lists'!$AL$8,'Lists'!$AK$8,IF(Z49&gt;='Lists'!$AL$7,'Lists'!$AK$7,IF(Z49&gt;='Lists'!$AL$6,'Lists'!$AK$6,'Lists'!$AK$5)))))</x:f>
        <x:v>ミドルレンジ</x:v>
      </x:c>
      <x:c r="AC49" s="164" t="n">
        <x:f>IF(OR(V49="",X49="",X49=0),"",ROUND(V49/X49,1))</x:f>
        <x:v>75.8</x:v>
      </x:c>
    </x:row>
    <x:row r="50" ht="38" customHeight="1">
      <x:c r="A50" s="12" t="str">
        <x:v>nvidia-geforce-rtx-3090-ti</x:v>
      </x:c>
      <x:c r="B50" s="12" t="str">
        <x:v>NVIDIA</x:v>
      </x:c>
      <x:c r="C50" s="12" t="str">
        <x:v>GeForce RTX 3090 Ti</x:v>
      </x:c>
      <x:c r="D50" s="12" t="str">
        <x:v>NVIDIA GeForce RTX 3090 Ti</x:v>
      </x:c>
      <x:c r="E50" s="12" t="str">
        <x:v>GeForce RTX 3090 Ti</x:v>
      </x:c>
      <x:c r="F50" s="12" t="str">
        <x:v>research_required</x:v>
      </x:c>
      <x:c r="G50" s="12" t="str">
        <x:v>unrated</x:v>
      </x:c>
      <x:c r="H50" s="102" t="n">
        <x:v>46218</x:v>
      </x:c>
      <x:c r="I50" s="14" t="str">
        <x:v>GPUチップ性能比較用の基準レコード。実製品の冷却・騒音・寸法・保証はGPUシートのボードSKUで別評価します。</x:v>
      </x:c>
      <x:c r="J50" s="14"/>
      <x:c r="K50" s="14"/>
      <x:c r="L50" s="14" t="str">
        <x:v>ボードメーカー別の品質・保証・電源・寸法は未評価</x:v>
      </x:c>
      <x:c r="M50" s="14" t="str">
        <x:v>PassMark値は2026-07-15確認時点。販売商品への自動承認には使用せず、個別ボードSKUを別途登録してください。</x:v>
      </x:c>
      <x:c r="N50" s="12" t="str">
        <x:v>Ampere</x:v>
      </x:c>
      <x:c r="O50" s="12" t="str">
        <x:v>GeForce RTX 30 Series</x:v>
      </x:c>
      <x:c r="P50" s="102" t="n">
        <x:v>44649</x:v>
      </x:c>
      <x:c r="Q50" s="12" t="str">
        <x:v>2022-03-29</x:v>
      </x:c>
      <x:c r="R50" s="12" t="str">
        <x:v>exact</x:v>
      </x:c>
      <x:c r="S50" s="104" t="n">
        <x:v>24</x:v>
      </x:c>
      <x:c r="T50" s="12" t="str">
        <x:v>GDDR6X</x:v>
      </x:c>
      <x:c r="U50" s="105" t="n">
        <x:v>384</x:v>
      </x:c>
      <x:c r="V50" s="105" t="n">
        <x:v>29272</x:v>
      </x:c>
      <x:c r="W50" s="105" t="n">
        <x:v>1226</x:v>
      </x:c>
      <x:c r="X50" s="105" t="n">
        <x:v>450</x:v>
      </x:c>
      <x:c r="Y50" s="102" t="n">
        <x:v>46218</x:v>
      </x:c>
      <x:c r="Z50" s="165" t="n">
        <x:f>IF(A50="","",ROUND(V50/INDEX($V$5:$V$87,MATCH($AA$3,$A$5:$A$87,0))*100,1))</x:f>
        <x:v>150.2</x:v>
      </x:c>
      <x:c r="AA50" s="167" t="n">
        <x:f>IF(V50="","",COUNTIF($V$5:$V$87,"&gt;"&amp;V50)+1)</x:f>
        <x:v>11</x:v>
      </x:c>
      <x:c r="AB50" s="163" t="str">
        <x:f>IF(Z50="","",IF(Z50&gt;='Lists'!$AL$9,'Lists'!$AK$9,IF(Z50&gt;='Lists'!$AL$8,'Lists'!$AK$8,IF(Z50&gt;='Lists'!$AL$7,'Lists'!$AK$7,IF(Z50&gt;='Lists'!$AL$6,'Lists'!$AK$6,'Lists'!$AK$5)))))</x:f>
        <x:v>ハイエンド</x:v>
      </x:c>
      <x:c r="AC50" s="165" t="n">
        <x:f>IF(OR(V50="",X50="",X50=0),"",ROUND(V50/X50,1))</x:f>
        <x:v>65</x:v>
      </x:c>
    </x:row>
    <x:row r="51" ht="38" customHeight="1">
      <x:c r="A51" s="12" t="str">
        <x:v>nvidia-geforce-rtx-4060</x:v>
      </x:c>
      <x:c r="B51" s="12" t="str">
        <x:v>NVIDIA</x:v>
      </x:c>
      <x:c r="C51" s="12" t="str">
        <x:v>GeForce RTX 4060</x:v>
      </x:c>
      <x:c r="D51" s="12" t="str">
        <x:v>NVIDIA GeForce RTX 4060</x:v>
      </x:c>
      <x:c r="E51" s="12" t="str">
        <x:v>GeForce RTX 4060</x:v>
      </x:c>
      <x:c r="F51" s="12" t="str">
        <x:v>research_required</x:v>
      </x:c>
      <x:c r="G51" s="12" t="str">
        <x:v>unrated</x:v>
      </x:c>
      <x:c r="H51" s="102" t="n">
        <x:v>46218</x:v>
      </x:c>
      <x:c r="I51" s="14" t="str">
        <x:v>GPUチップ性能比較用の基準レコード。実製品の冷却・騒音・寸法・保証はGPUシートのボードSKUで別評価します。</x:v>
      </x:c>
      <x:c r="J51" s="14"/>
      <x:c r="K51" s="14"/>
      <x:c r="L51" s="14" t="str">
        <x:v>ボードメーカー別の品質・保証・電源・寸法は未評価</x:v>
      </x:c>
      <x:c r="M51" s="14" t="str">
        <x:v>PassMark値は2026-07-15確認時点。販売商品への自動承認には使用せず、個別ボードSKUを別途登録してください。</x:v>
      </x:c>
      <x:c r="N51" s="12" t="str">
        <x:v>Ada Lovelace</x:v>
      </x:c>
      <x:c r="O51" s="12" t="str">
        <x:v>GeForce RTX 40 Series</x:v>
      </x:c>
      <x:c r="P51" s="102" t="n">
        <x:v>45106</x:v>
      </x:c>
      <x:c r="Q51" s="12" t="str">
        <x:v>2023-06-29</x:v>
      </x:c>
      <x:c r="R51" s="12" t="str">
        <x:v>exact</x:v>
      </x:c>
      <x:c r="S51" s="104" t="n">
        <x:v>8</x:v>
      </x:c>
      <x:c r="T51" s="12" t="str">
        <x:v>GDDR6</x:v>
      </x:c>
      <x:c r="U51" s="105" t="n">
        <x:v>128</x:v>
      </x:c>
      <x:c r="V51" s="105" t="n">
        <x:v>19494</x:v>
      </x:c>
      <x:c r="W51" s="105" t="n">
        <x:v>1037</x:v>
      </x:c>
      <x:c r="X51" s="105" t="n">
        <x:v>115</x:v>
      </x:c>
      <x:c r="Y51" s="102" t="n">
        <x:v>46218</x:v>
      </x:c>
      <x:c r="Z51" s="164" t="n">
        <x:f>IF(A51="","",ROUND(V51/INDEX($V$5:$V$87,MATCH($AA$3,$A$5:$A$87,0))*100,1))</x:f>
        <x:v>100</x:v>
      </x:c>
      <x:c r="AA51" s="166" t="n">
        <x:f>IF(V51="","",COUNTIF($V$5:$V$87,"&gt;"&amp;V51)+1)</x:f>
        <x:v>42</x:v>
      </x:c>
      <x:c r="AB51" s="162" t="str">
        <x:f>IF(Z51="","",IF(Z51&gt;='Lists'!$AL$9,'Lists'!$AK$9,IF(Z51&gt;='Lists'!$AL$8,'Lists'!$AK$8,IF(Z51&gt;='Lists'!$AL$7,'Lists'!$AK$7,IF(Z51&gt;='Lists'!$AL$6,'Lists'!$AK$6,'Lists'!$AK$5)))))</x:f>
        <x:v>メインストリーム</x:v>
      </x:c>
      <x:c r="AC51" s="164" t="n">
        <x:f>IF(OR(V51="",X51="",X51=0),"",ROUND(V51/X51,1))</x:f>
        <x:v>169.5</x:v>
      </x:c>
    </x:row>
    <x:row r="52" ht="38" customHeight="1">
      <x:c r="A52" s="12" t="str">
        <x:v>nvidia-geforce-rtx-4060-ti-8gb</x:v>
      </x:c>
      <x:c r="B52" s="12" t="str">
        <x:v>NVIDIA</x:v>
      </x:c>
      <x:c r="C52" s="12" t="str">
        <x:v>GeForce RTX 4060 Ti 8GB</x:v>
      </x:c>
      <x:c r="D52" s="12" t="str">
        <x:v>NVIDIA GeForce RTX 4060 Ti 8GB</x:v>
      </x:c>
      <x:c r="E52" s="12" t="str">
        <x:v>GeForce RTX 4060 Ti 8GB
GeForce RTX 4060 Ti</x:v>
      </x:c>
      <x:c r="F52" s="12" t="str">
        <x:v>research_required</x:v>
      </x:c>
      <x:c r="G52" s="12" t="str">
        <x:v>unrated</x:v>
      </x:c>
      <x:c r="H52" s="102" t="n">
        <x:v>46218</x:v>
      </x:c>
      <x:c r="I52" s="14" t="str">
        <x:v>GPUチップ性能比較用の基準レコード。実製品の冷却・騒音・寸法・保証はGPUシートのボードSKUで別評価します。</x:v>
      </x:c>
      <x:c r="J52" s="14"/>
      <x:c r="K52" s="14"/>
      <x:c r="L52" s="14" t="str">
        <x:v>ボードメーカー別の品質・保証・電源・寸法は未評価</x:v>
      </x:c>
      <x:c r="M52" s="14" t="str">
        <x:v>PassMark値は2026-07-15確認時点。販売商品への自動承認には使用せず、個別ボードSKUを別途登録してください。</x:v>
      </x:c>
      <x:c r="N52" s="12" t="str">
        <x:v>Ada Lovelace</x:v>
      </x:c>
      <x:c r="O52" s="12" t="str">
        <x:v>GeForce RTX 40 Series</x:v>
      </x:c>
      <x:c r="P52" s="102" t="n">
        <x:v>45070</x:v>
      </x:c>
      <x:c r="Q52" s="12" t="str">
        <x:v>2023-05-24</x:v>
      </x:c>
      <x:c r="R52" s="12" t="str">
        <x:v>exact</x:v>
      </x:c>
      <x:c r="S52" s="104" t="n">
        <x:v>8</x:v>
      </x:c>
      <x:c r="T52" s="12" t="str">
        <x:v>GDDR6</x:v>
      </x:c>
      <x:c r="U52" s="105" t="n">
        <x:v>128</x:v>
      </x:c>
      <x:c r="V52" s="105" t="n">
        <x:v>22603</x:v>
      </x:c>
      <x:c r="W52" s="105" t="n">
        <x:v>1095</x:v>
      </x:c>
      <x:c r="X52" s="105" t="n">
        <x:v>160</x:v>
      </x:c>
      <x:c r="Y52" s="102" t="n">
        <x:v>46218</x:v>
      </x:c>
      <x:c r="Z52" s="165" t="n">
        <x:f>IF(A52="","",ROUND(V52/INDEX($V$5:$V$87,MATCH($AA$3,$A$5:$A$87,0))*100,1))</x:f>
        <x:v>115.9</x:v>
      </x:c>
      <x:c r="AA52" s="167" t="n">
        <x:f>IF(V52="","",COUNTIF($V$5:$V$87,"&gt;"&amp;V52)+1)</x:f>
        <x:v>30</x:v>
      </x:c>
      <x:c r="AB52" s="163" t="str">
        <x:f>IF(Z52="","",IF(Z52&gt;='Lists'!$AL$9,'Lists'!$AK$9,IF(Z52&gt;='Lists'!$AL$8,'Lists'!$AK$8,IF(Z52&gt;='Lists'!$AL$7,'Lists'!$AK$7,IF(Z52&gt;='Lists'!$AL$6,'Lists'!$AK$6,'Lists'!$AK$5)))))</x:f>
        <x:v>ミドルレンジ</x:v>
      </x:c>
      <x:c r="AC52" s="165" t="n">
        <x:f>IF(OR(V52="",X52="",X52=0),"",ROUND(V52/X52,1))</x:f>
        <x:v>141.3</x:v>
      </x:c>
    </x:row>
    <x:row r="53" ht="38" customHeight="1">
      <x:c r="A53" s="12" t="str">
        <x:v>nvidia-geforce-rtx-4060-ti-16gb</x:v>
      </x:c>
      <x:c r="B53" s="12" t="str">
        <x:v>NVIDIA</x:v>
      </x:c>
      <x:c r="C53" s="12" t="str">
        <x:v>GeForce RTX 4060 Ti 16GB</x:v>
      </x:c>
      <x:c r="D53" s="12" t="str">
        <x:v>NVIDIA GeForce RTX 4060 Ti 16GB</x:v>
      </x:c>
      <x:c r="E53" s="12" t="str">
        <x:v>GeForce RTX 4060 Ti 16GB</x:v>
      </x:c>
      <x:c r="F53" s="12" t="str">
        <x:v>research_required</x:v>
      </x:c>
      <x:c r="G53" s="12" t="str">
        <x:v>unrated</x:v>
      </x:c>
      <x:c r="H53" s="102" t="n">
        <x:v>46218</x:v>
      </x:c>
      <x:c r="I53" s="14" t="str">
        <x:v>GPUチップ性能比較用の基準レコード。実製品の冷却・騒音・寸法・保証はGPUシートのボードSKUで別評価します。</x:v>
      </x:c>
      <x:c r="J53" s="14"/>
      <x:c r="K53" s="14"/>
      <x:c r="L53" s="14" t="str">
        <x:v>ボードメーカー別の品質・保証・電源・寸法は未評価</x:v>
      </x:c>
      <x:c r="M53" s="14" t="str">
        <x:v>PassMark値は2026-07-15確認時点。販売商品への自動承認には使用せず、個別ボードSKUを別途登録してください。</x:v>
      </x:c>
      <x:c r="N53" s="12" t="str">
        <x:v>Ada Lovelace</x:v>
      </x:c>
      <x:c r="O53" s="12" t="str">
        <x:v>GeForce RTX 40 Series</x:v>
      </x:c>
      <x:c r="P53" s="102" t="n">
        <x:v>45125</x:v>
      </x:c>
      <x:c r="Q53" s="12" t="str">
        <x:v>2023-07-18</x:v>
      </x:c>
      <x:c r="R53" s="12" t="str">
        <x:v>exact</x:v>
      </x:c>
      <x:c r="S53" s="104" t="n">
        <x:v>16</x:v>
      </x:c>
      <x:c r="T53" s="12" t="str">
        <x:v>GDDR6</x:v>
      </x:c>
      <x:c r="U53" s="105" t="n">
        <x:v>128</x:v>
      </x:c>
      <x:c r="V53" s="105" t="n">
        <x:v>22592</x:v>
      </x:c>
      <x:c r="W53" s="105" t="n">
        <x:v>1079</x:v>
      </x:c>
      <x:c r="X53" s="105" t="n">
        <x:v>165</x:v>
      </x:c>
      <x:c r="Y53" s="102" t="n">
        <x:v>46218</x:v>
      </x:c>
      <x:c r="Z53" s="164" t="n">
        <x:f>IF(A53="","",ROUND(V53/INDEX($V$5:$V$87,MATCH($AA$3,$A$5:$A$87,0))*100,1))</x:f>
        <x:v>115.9</x:v>
      </x:c>
      <x:c r="AA53" s="166" t="n">
        <x:f>IF(V53="","",COUNTIF($V$5:$V$87,"&gt;"&amp;V53)+1)</x:f>
        <x:v>31</x:v>
      </x:c>
      <x:c r="AB53" s="162" t="str">
        <x:f>IF(Z53="","",IF(Z53&gt;='Lists'!$AL$9,'Lists'!$AK$9,IF(Z53&gt;='Lists'!$AL$8,'Lists'!$AK$8,IF(Z53&gt;='Lists'!$AL$7,'Lists'!$AK$7,IF(Z53&gt;='Lists'!$AL$6,'Lists'!$AK$6,'Lists'!$AK$5)))))</x:f>
        <x:v>ミドルレンジ</x:v>
      </x:c>
      <x:c r="AC53" s="164" t="n">
        <x:f>IF(OR(V53="",X53="",X53=0),"",ROUND(V53/X53,1))</x:f>
        <x:v>136.9</x:v>
      </x:c>
    </x:row>
    <x:row r="54" ht="38" customHeight="1">
      <x:c r="A54" s="12" t="str">
        <x:v>nvidia-geforce-rtx-4070</x:v>
      </x:c>
      <x:c r="B54" s="12" t="str">
        <x:v>NVIDIA</x:v>
      </x:c>
      <x:c r="C54" s="12" t="str">
        <x:v>GeForce RTX 4070</x:v>
      </x:c>
      <x:c r="D54" s="12" t="str">
        <x:v>NVIDIA GeForce RTX 4070</x:v>
      </x:c>
      <x:c r="E54" s="12" t="str">
        <x:v>GeForce RTX 4070</x:v>
      </x:c>
      <x:c r="F54" s="12" t="str">
        <x:v>research_required</x:v>
      </x:c>
      <x:c r="G54" s="12" t="str">
        <x:v>unrated</x:v>
      </x:c>
      <x:c r="H54" s="102" t="n">
        <x:v>46218</x:v>
      </x:c>
      <x:c r="I54" s="14" t="str">
        <x:v>GPUチップ性能比較用の基準レコード。実製品の冷却・騒音・寸法・保証はGPUシートのボードSKUで別評価します。</x:v>
      </x:c>
      <x:c r="J54" s="14"/>
      <x:c r="K54" s="14"/>
      <x:c r="L54" s="14" t="str">
        <x:v>ボードメーカー別の品質・保証・電源・寸法は未評価</x:v>
      </x:c>
      <x:c r="M54" s="14" t="str">
        <x:v>PassMark値は2026-07-15確認時点。販売商品への自動承認には使用せず、個別ボードSKUを別途登録してください。</x:v>
      </x:c>
      <x:c r="N54" s="12" t="str">
        <x:v>Ada Lovelace</x:v>
      </x:c>
      <x:c r="O54" s="12" t="str">
        <x:v>GeForce RTX 40 Series</x:v>
      </x:c>
      <x:c r="P54" s="102" t="n">
        <x:v>45029</x:v>
      </x:c>
      <x:c r="Q54" s="12" t="str">
        <x:v>2023-04-13</x:v>
      </x:c>
      <x:c r="R54" s="12" t="str">
        <x:v>exact</x:v>
      </x:c>
      <x:c r="S54" s="104" t="n">
        <x:v>12</x:v>
      </x:c>
      <x:c r="T54" s="12" t="str">
        <x:v>GDDR6X</x:v>
      </x:c>
      <x:c r="U54" s="105" t="n">
        <x:v>192</x:v>
      </x:c>
      <x:c r="V54" s="105" t="n">
        <x:v>26880</x:v>
      </x:c>
      <x:c r="W54" s="105" t="n">
        <x:v>1167</x:v>
      </x:c>
      <x:c r="X54" s="105" t="n">
        <x:v>200</x:v>
      </x:c>
      <x:c r="Y54" s="102" t="n">
        <x:v>46218</x:v>
      </x:c>
      <x:c r="Z54" s="165" t="n">
        <x:f>IF(A54="","",ROUND(V54/INDEX($V$5:$V$87,MATCH($AA$3,$A$5:$A$87,0))*100,1))</x:f>
        <x:v>137.9</x:v>
      </x:c>
      <x:c r="AA54" s="167" t="n">
        <x:f>IF(V54="","",COUNTIF($V$5:$V$87,"&gt;"&amp;V54)+1)</x:f>
        <x:v>17</x:v>
      </x:c>
      <x:c r="AB54" s="163" t="str">
        <x:f>IF(Z54="","",IF(Z54&gt;='Lists'!$AL$9,'Lists'!$AK$9,IF(Z54&gt;='Lists'!$AL$8,'Lists'!$AK$8,IF(Z54&gt;='Lists'!$AL$7,'Lists'!$AK$7,IF(Z54&gt;='Lists'!$AL$6,'Lists'!$AK$6,'Lists'!$AK$5)))))</x:f>
        <x:v>ミドルレンジ</x:v>
      </x:c>
      <x:c r="AC54" s="165" t="n">
        <x:f>IF(OR(V54="",X54="",X54=0),"",ROUND(V54/X54,1))</x:f>
        <x:v>134.4</x:v>
      </x:c>
    </x:row>
    <x:row r="55" ht="38" customHeight="1">
      <x:c r="A55" s="12" t="str">
        <x:v>nvidia-geforce-rtx-4070-super</x:v>
      </x:c>
      <x:c r="B55" s="12" t="str">
        <x:v>NVIDIA</x:v>
      </x:c>
      <x:c r="C55" s="12" t="str">
        <x:v>GeForce RTX 4070 SUPER</x:v>
      </x:c>
      <x:c r="D55" s="12" t="str">
        <x:v>NVIDIA GeForce RTX 4070 SUPER</x:v>
      </x:c>
      <x:c r="E55" s="12" t="str">
        <x:v>GeForce RTX 4070 SUPER</x:v>
      </x:c>
      <x:c r="F55" s="12" t="str">
        <x:v>research_required</x:v>
      </x:c>
      <x:c r="G55" s="12" t="str">
        <x:v>unrated</x:v>
      </x:c>
      <x:c r="H55" s="102" t="n">
        <x:v>46218</x:v>
      </x:c>
      <x:c r="I55" s="14" t="str">
        <x:v>GPUチップ性能比較用の基準レコード。実製品の冷却・騒音・寸法・保証はGPUシートのボードSKUで別評価します。</x:v>
      </x:c>
      <x:c r="J55" s="14"/>
      <x:c r="K55" s="14"/>
      <x:c r="L55" s="14" t="str">
        <x:v>ボードメーカー別の品質・保証・電源・寸法は未評価</x:v>
      </x:c>
      <x:c r="M55" s="14" t="str">
        <x:v>PassMark値は2026-07-15確認時点。販売商品への自動承認には使用せず、個別ボードSKUを別途登録してください。</x:v>
      </x:c>
      <x:c r="N55" s="12" t="str">
        <x:v>Ada Lovelace</x:v>
      </x:c>
      <x:c r="O55" s="12" t="str">
        <x:v>GeForce RTX 40 Series</x:v>
      </x:c>
      <x:c r="P55" s="102" t="n">
        <x:v>45308</x:v>
      </x:c>
      <x:c r="Q55" s="12" t="str">
        <x:v>2024-01-17</x:v>
      </x:c>
      <x:c r="R55" s="12" t="str">
        <x:v>exact</x:v>
      </x:c>
      <x:c r="S55" s="104" t="n">
        <x:v>12</x:v>
      </x:c>
      <x:c r="T55" s="12" t="str">
        <x:v>GDDR6X</x:v>
      </x:c>
      <x:c r="U55" s="105" t="n">
        <x:v>192</x:v>
      </x:c>
      <x:c r="V55" s="105" t="n">
        <x:v>29944</x:v>
      </x:c>
      <x:c r="W55" s="105" t="n">
        <x:v>1192</x:v>
      </x:c>
      <x:c r="X55" s="105" t="n">
        <x:v>220</x:v>
      </x:c>
      <x:c r="Y55" s="102" t="n">
        <x:v>46218</x:v>
      </x:c>
      <x:c r="Z55" s="164" t="n">
        <x:f>IF(A55="","",ROUND(V55/INDEX($V$5:$V$87,MATCH($AA$3,$A$5:$A$87,0))*100,1))</x:f>
        <x:v>153.6</x:v>
      </x:c>
      <x:c r="AA55" s="166" t="n">
        <x:f>IF(V55="","",COUNTIF($V$5:$V$87,"&gt;"&amp;V55)+1)</x:f>
        <x:v>10</x:v>
      </x:c>
      <x:c r="AB55" s="162" t="str">
        <x:f>IF(Z55="","",IF(Z55&gt;='Lists'!$AL$9,'Lists'!$AK$9,IF(Z55&gt;='Lists'!$AL$8,'Lists'!$AK$8,IF(Z55&gt;='Lists'!$AL$7,'Lists'!$AK$7,IF(Z55&gt;='Lists'!$AL$6,'Lists'!$AK$6,'Lists'!$AK$5)))))</x:f>
        <x:v>ハイエンド</x:v>
      </x:c>
      <x:c r="AC55" s="164" t="n">
        <x:f>IF(OR(V55="",X55="",X55=0),"",ROUND(V55/X55,1))</x:f>
        <x:v>136.1</x:v>
      </x:c>
    </x:row>
    <x:row r="56" ht="38" customHeight="1">
      <x:c r="A56" s="12" t="str">
        <x:v>nvidia-geforce-rtx-4070-ti</x:v>
      </x:c>
      <x:c r="B56" s="12" t="str">
        <x:v>NVIDIA</x:v>
      </x:c>
      <x:c r="C56" s="12" t="str">
        <x:v>GeForce RTX 4070 Ti</x:v>
      </x:c>
      <x:c r="D56" s="12" t="str">
        <x:v>NVIDIA GeForce RTX 4070 Ti</x:v>
      </x:c>
      <x:c r="E56" s="12" t="str">
        <x:v>GeForce RTX 4070 Ti</x:v>
      </x:c>
      <x:c r="F56" s="12" t="str">
        <x:v>research_required</x:v>
      </x:c>
      <x:c r="G56" s="12" t="str">
        <x:v>unrated</x:v>
      </x:c>
      <x:c r="H56" s="102" t="n">
        <x:v>46218</x:v>
      </x:c>
      <x:c r="I56" s="14" t="str">
        <x:v>GPUチップ性能比較用の基準レコード。実製品の冷却・騒音・寸法・保証はGPUシートのボードSKUで別評価します。</x:v>
      </x:c>
      <x:c r="J56" s="14"/>
      <x:c r="K56" s="14"/>
      <x:c r="L56" s="14" t="str">
        <x:v>ボードメーカー別の品質・保証・電源・寸法は未評価</x:v>
      </x:c>
      <x:c r="M56" s="14" t="str">
        <x:v>PassMark値は2026-07-15確認時点。販売商品への自動承認には使用せず、個別ボードSKUを別途登録してください。</x:v>
      </x:c>
      <x:c r="N56" s="12" t="str">
        <x:v>Ada Lovelace</x:v>
      </x:c>
      <x:c r="O56" s="12" t="str">
        <x:v>GeForce RTX 40 Series</x:v>
      </x:c>
      <x:c r="P56" s="102" t="n">
        <x:v>44931</x:v>
      </x:c>
      <x:c r="Q56" s="12" t="str">
        <x:v>2023-01-05</x:v>
      </x:c>
      <x:c r="R56" s="12" t="str">
        <x:v>exact</x:v>
      </x:c>
      <x:c r="S56" s="104" t="n">
        <x:v>12</x:v>
      </x:c>
      <x:c r="T56" s="12" t="str">
        <x:v>GDDR6X</x:v>
      </x:c>
      <x:c r="U56" s="105" t="n">
        <x:v>192</x:v>
      </x:c>
      <x:c r="V56" s="105" t="n">
        <x:v>31540</x:v>
      </x:c>
      <x:c r="W56" s="105" t="n">
        <x:v>1209</x:v>
      </x:c>
      <x:c r="X56" s="105" t="n">
        <x:v>285</x:v>
      </x:c>
      <x:c r="Y56" s="102" t="n">
        <x:v>46218</x:v>
      </x:c>
      <x:c r="Z56" s="165" t="n">
        <x:f>IF(A56="","",ROUND(V56/INDEX($V$5:$V$87,MATCH($AA$3,$A$5:$A$87,0))*100,1))</x:f>
        <x:v>161.8</x:v>
      </x:c>
      <x:c r="AA56" s="167" t="n">
        <x:f>IF(V56="","",COUNTIF($V$5:$V$87,"&gt;"&amp;V56)+1)</x:f>
        <x:v>8</x:v>
      </x:c>
      <x:c r="AB56" s="163" t="str">
        <x:f>IF(Z56="","",IF(Z56&gt;='Lists'!$AL$9,'Lists'!$AK$9,IF(Z56&gt;='Lists'!$AL$8,'Lists'!$AK$8,IF(Z56&gt;='Lists'!$AL$7,'Lists'!$AK$7,IF(Z56&gt;='Lists'!$AL$6,'Lists'!$AK$6,'Lists'!$AK$5)))))</x:f>
        <x:v>ハイエンド</x:v>
      </x:c>
      <x:c r="AC56" s="165" t="n">
        <x:f>IF(OR(V56="",X56="",X56=0),"",ROUND(V56/X56,1))</x:f>
        <x:v>110.7</x:v>
      </x:c>
    </x:row>
    <x:row r="57" ht="38" customHeight="1">
      <x:c r="A57" s="12" t="str">
        <x:v>nvidia-geforce-rtx-4070-ti-super</x:v>
      </x:c>
      <x:c r="B57" s="12" t="str">
        <x:v>NVIDIA</x:v>
      </x:c>
      <x:c r="C57" s="12" t="str">
        <x:v>GeForce RTX 4070 Ti SUPER</x:v>
      </x:c>
      <x:c r="D57" s="12" t="str">
        <x:v>NVIDIA GeForce RTX 4070 Ti SUPER</x:v>
      </x:c>
      <x:c r="E57" s="12" t="str">
        <x:v>GeForce RTX 4070 Ti SUPER</x:v>
      </x:c>
      <x:c r="F57" s="12" t="str">
        <x:v>research_required</x:v>
      </x:c>
      <x:c r="G57" s="12" t="str">
        <x:v>unrated</x:v>
      </x:c>
      <x:c r="H57" s="102" t="n">
        <x:v>46218</x:v>
      </x:c>
      <x:c r="I57" s="14" t="str">
        <x:v>GPUチップ性能比較用の基準レコード。実製品の冷却・騒音・寸法・保証はGPUシートのボードSKUで別評価します。</x:v>
      </x:c>
      <x:c r="J57" s="14"/>
      <x:c r="K57" s="14"/>
      <x:c r="L57" s="14" t="str">
        <x:v>ボードメーカー別の品質・保証・電源・寸法は未評価</x:v>
      </x:c>
      <x:c r="M57" s="14" t="str">
        <x:v>PassMark値は2026-07-15確認時点。販売商品への自動承認には使用せず、個別ボードSKUを別途登録してください。</x:v>
      </x:c>
      <x:c r="N57" s="12" t="str">
        <x:v>Ada Lovelace</x:v>
      </x:c>
      <x:c r="O57" s="12" t="str">
        <x:v>GeForce RTX 40 Series</x:v>
      </x:c>
      <x:c r="P57" s="102" t="n">
        <x:v>45315</x:v>
      </x:c>
      <x:c r="Q57" s="12" t="str">
        <x:v>2024-01-24</x:v>
      </x:c>
      <x:c r="R57" s="12" t="str">
        <x:v>exact</x:v>
      </x:c>
      <x:c r="S57" s="104" t="n">
        <x:v>16</x:v>
      </x:c>
      <x:c r="T57" s="12" t="str">
        <x:v>GDDR6X</x:v>
      </x:c>
      <x:c r="U57" s="105" t="n">
        <x:v>256</x:v>
      </x:c>
      <x:c r="V57" s="105" t="n">
        <x:v>31851</x:v>
      </x:c>
      <x:c r="W57" s="105" t="n">
        <x:v>1246</x:v>
      </x:c>
      <x:c r="X57" s="105" t="n">
        <x:v>285</x:v>
      </x:c>
      <x:c r="Y57" s="102" t="n">
        <x:v>46218</x:v>
      </x:c>
      <x:c r="Z57" s="164" t="n">
        <x:f>IF(A57="","",ROUND(V57/INDEX($V$5:$V$87,MATCH($AA$3,$A$5:$A$87,0))*100,1))</x:f>
        <x:v>163.4</x:v>
      </x:c>
      <x:c r="AA57" s="166" t="n">
        <x:f>IF(V57="","",COUNTIF($V$5:$V$87,"&gt;"&amp;V57)+1)</x:f>
        <x:v>7</x:v>
      </x:c>
      <x:c r="AB57" s="162" t="str">
        <x:f>IF(Z57="","",IF(Z57&gt;='Lists'!$AL$9,'Lists'!$AK$9,IF(Z57&gt;='Lists'!$AL$8,'Lists'!$AK$8,IF(Z57&gt;='Lists'!$AL$7,'Lists'!$AK$7,IF(Z57&gt;='Lists'!$AL$6,'Lists'!$AK$6,'Lists'!$AK$5)))))</x:f>
        <x:v>ハイエンド</x:v>
      </x:c>
      <x:c r="AC57" s="164" t="n">
        <x:f>IF(OR(V57="",X57="",X57=0),"",ROUND(V57/X57,1))</x:f>
        <x:v>111.8</x:v>
      </x:c>
    </x:row>
    <x:row r="58" ht="38" customHeight="1">
      <x:c r="A58" s="12" t="str">
        <x:v>nvidia-geforce-rtx-4080</x:v>
      </x:c>
      <x:c r="B58" s="12" t="str">
        <x:v>NVIDIA</x:v>
      </x:c>
      <x:c r="C58" s="12" t="str">
        <x:v>GeForce RTX 4080</x:v>
      </x:c>
      <x:c r="D58" s="12" t="str">
        <x:v>NVIDIA GeForce RTX 4080</x:v>
      </x:c>
      <x:c r="E58" s="12" t="str">
        <x:v>GeForce RTX 4080</x:v>
      </x:c>
      <x:c r="F58" s="12" t="str">
        <x:v>research_required</x:v>
      </x:c>
      <x:c r="G58" s="12" t="str">
        <x:v>unrated</x:v>
      </x:c>
      <x:c r="H58" s="102" t="n">
        <x:v>46218</x:v>
      </x:c>
      <x:c r="I58" s="14" t="str">
        <x:v>GPUチップ性能比較用の基準レコード。実製品の冷却・騒音・寸法・保証はGPUシートのボードSKUで別評価します。</x:v>
      </x:c>
      <x:c r="J58" s="14"/>
      <x:c r="K58" s="14"/>
      <x:c r="L58" s="14" t="str">
        <x:v>ボードメーカー別の品質・保証・電源・寸法は未評価</x:v>
      </x:c>
      <x:c r="M58" s="14" t="str">
        <x:v>PassMark値は2026-07-15確認時点。販売商品への自動承認には使用せず、個別ボードSKUを別途登録してください。</x:v>
      </x:c>
      <x:c r="N58" s="12" t="str">
        <x:v>Ada Lovelace</x:v>
      </x:c>
      <x:c r="O58" s="12" t="str">
        <x:v>GeForce RTX 40 Series</x:v>
      </x:c>
      <x:c r="P58" s="102" t="n">
        <x:v>44881</x:v>
      </x:c>
      <x:c r="Q58" s="12" t="str">
        <x:v>2022-11-16</x:v>
      </x:c>
      <x:c r="R58" s="12" t="str">
        <x:v>exact</x:v>
      </x:c>
      <x:c r="S58" s="104" t="n">
        <x:v>16</x:v>
      </x:c>
      <x:c r="T58" s="12" t="str">
        <x:v>GDDR6X</x:v>
      </x:c>
      <x:c r="U58" s="105" t="n">
        <x:v>256</x:v>
      </x:c>
      <x:c r="V58" s="105" t="n">
        <x:v>34447</x:v>
      </x:c>
      <x:c r="W58" s="105" t="n">
        <x:v>1250</x:v>
      </x:c>
      <x:c r="X58" s="105" t="n">
        <x:v>320</x:v>
      </x:c>
      <x:c r="Y58" s="102" t="n">
        <x:v>46218</x:v>
      </x:c>
      <x:c r="Z58" s="165" t="n">
        <x:f>IF(A58="","",ROUND(V58/INDEX($V$5:$V$87,MATCH($AA$3,$A$5:$A$87,0))*100,1))</x:f>
        <x:v>176.7</x:v>
      </x:c>
      <x:c r="AA58" s="167" t="n">
        <x:f>IF(V58="","",COUNTIF($V$5:$V$87,"&gt;"&amp;V58)+1)</x:f>
        <x:v>4</x:v>
      </x:c>
      <x:c r="AB58" s="163" t="str">
        <x:f>IF(Z58="","",IF(Z58&gt;='Lists'!$AL$9,'Lists'!$AK$9,IF(Z58&gt;='Lists'!$AL$8,'Lists'!$AK$8,IF(Z58&gt;='Lists'!$AL$7,'Lists'!$AK$7,IF(Z58&gt;='Lists'!$AL$6,'Lists'!$AK$6,'Lists'!$AK$5)))))</x:f>
        <x:v>フラッグシップ</x:v>
      </x:c>
      <x:c r="AC58" s="165" t="n">
        <x:f>IF(OR(V58="",X58="",X58=0),"",ROUND(V58/X58,1))</x:f>
        <x:v>107.6</x:v>
      </x:c>
    </x:row>
    <x:row r="59" ht="38" customHeight="1">
      <x:c r="A59" s="12" t="str">
        <x:v>nvidia-geforce-rtx-4080-super</x:v>
      </x:c>
      <x:c r="B59" s="12" t="str">
        <x:v>NVIDIA</x:v>
      </x:c>
      <x:c r="C59" s="12" t="str">
        <x:v>GeForce RTX 4080 SUPER</x:v>
      </x:c>
      <x:c r="D59" s="12" t="str">
        <x:v>NVIDIA GeForce RTX 4080 SUPER</x:v>
      </x:c>
      <x:c r="E59" s="12" t="str">
        <x:v>GeForce RTX 4080 SUPER</x:v>
      </x:c>
      <x:c r="F59" s="12" t="str">
        <x:v>research_required</x:v>
      </x:c>
      <x:c r="G59" s="12" t="str">
        <x:v>unrated</x:v>
      </x:c>
      <x:c r="H59" s="102" t="n">
        <x:v>46218</x:v>
      </x:c>
      <x:c r="I59" s="14" t="str">
        <x:v>GPUチップ性能比較用の基準レコード。実製品の冷却・騒音・寸法・保証はGPUシートのボードSKUで別評価します。</x:v>
      </x:c>
      <x:c r="J59" s="14"/>
      <x:c r="K59" s="14"/>
      <x:c r="L59" s="14" t="str">
        <x:v>ボードメーカー別の品質・保証・電源・寸法は未評価</x:v>
      </x:c>
      <x:c r="M59" s="14" t="str">
        <x:v>PassMark値は2026-07-15確認時点。販売商品への自動承認には使用せず、個別ボードSKUを別途登録してください。</x:v>
      </x:c>
      <x:c r="N59" s="12" t="str">
        <x:v>Ada Lovelace</x:v>
      </x:c>
      <x:c r="O59" s="12" t="str">
        <x:v>GeForce RTX 40 Series</x:v>
      </x:c>
      <x:c r="P59" s="102" t="n">
        <x:v>45322</x:v>
      </x:c>
      <x:c r="Q59" s="12" t="str">
        <x:v>2024-01-31</x:v>
      </x:c>
      <x:c r="R59" s="12" t="str">
        <x:v>exact</x:v>
      </x:c>
      <x:c r="S59" s="104" t="n">
        <x:v>16</x:v>
      </x:c>
      <x:c r="T59" s="12" t="str">
        <x:v>GDDR6X</x:v>
      </x:c>
      <x:c r="U59" s="105" t="n">
        <x:v>256</x:v>
      </x:c>
      <x:c r="V59" s="105" t="n">
        <x:v>34237</x:v>
      </x:c>
      <x:c r="W59" s="105" t="n">
        <x:v>1279</x:v>
      </x:c>
      <x:c r="X59" s="105" t="n">
        <x:v>320</x:v>
      </x:c>
      <x:c r="Y59" s="102" t="n">
        <x:v>46218</x:v>
      </x:c>
      <x:c r="Z59" s="164" t="n">
        <x:f>IF(A59="","",ROUND(V59/INDEX($V$5:$V$87,MATCH($AA$3,$A$5:$A$87,0))*100,1))</x:f>
        <x:v>175.6</x:v>
      </x:c>
      <x:c r="AA59" s="166" t="n">
        <x:f>IF(V59="","",COUNTIF($V$5:$V$87,"&gt;"&amp;V59)+1)</x:f>
        <x:v>5</x:v>
      </x:c>
      <x:c r="AB59" s="162" t="str">
        <x:f>IF(Z59="","",IF(Z59&gt;='Lists'!$AL$9,'Lists'!$AK$9,IF(Z59&gt;='Lists'!$AL$8,'Lists'!$AK$8,IF(Z59&gt;='Lists'!$AL$7,'Lists'!$AK$7,IF(Z59&gt;='Lists'!$AL$6,'Lists'!$AK$6,'Lists'!$AK$5)))))</x:f>
        <x:v>フラッグシップ</x:v>
      </x:c>
      <x:c r="AC59" s="164" t="n">
        <x:f>IF(OR(V59="",X59="",X59=0),"",ROUND(V59/X59,1))</x:f>
        <x:v>107</x:v>
      </x:c>
    </x:row>
    <x:row r="60" ht="38" customHeight="1">
      <x:c r="A60" s="12" t="str">
        <x:v>nvidia-geforce-rtx-4090</x:v>
      </x:c>
      <x:c r="B60" s="12" t="str">
        <x:v>NVIDIA</x:v>
      </x:c>
      <x:c r="C60" s="12" t="str">
        <x:v>GeForce RTX 4090</x:v>
      </x:c>
      <x:c r="D60" s="12" t="str">
        <x:v>NVIDIA GeForce RTX 4090</x:v>
      </x:c>
      <x:c r="E60" s="12" t="str">
        <x:v>GeForce RTX 4090</x:v>
      </x:c>
      <x:c r="F60" s="12" t="str">
        <x:v>research_required</x:v>
      </x:c>
      <x:c r="G60" s="12" t="str">
        <x:v>unrated</x:v>
      </x:c>
      <x:c r="H60" s="102" t="n">
        <x:v>46218</x:v>
      </x:c>
      <x:c r="I60" s="14" t="str">
        <x:v>GPUチップ性能比較用の基準レコード。実製品の冷却・騒音・寸法・保証はGPUシートのボードSKUで別評価します。</x:v>
      </x:c>
      <x:c r="J60" s="14"/>
      <x:c r="K60" s="14"/>
      <x:c r="L60" s="14" t="str">
        <x:v>ボードメーカー別の品質・保証・電源・寸法は未評価</x:v>
      </x:c>
      <x:c r="M60" s="14" t="str">
        <x:v>PassMark値は2026-07-15確認時点。販売商品への自動承認には使用せず、個別ボードSKUを別途登録してください。</x:v>
      </x:c>
      <x:c r="N60" s="12" t="str">
        <x:v>Ada Lovelace</x:v>
      </x:c>
      <x:c r="O60" s="12" t="str">
        <x:v>GeForce RTX 40 Series</x:v>
      </x:c>
      <x:c r="P60" s="102" t="n">
        <x:v>44846</x:v>
      </x:c>
      <x:c r="Q60" s="12" t="str">
        <x:v>2022-10-12</x:v>
      </x:c>
      <x:c r="R60" s="12" t="str">
        <x:v>exact</x:v>
      </x:c>
      <x:c r="S60" s="104" t="n">
        <x:v>24</x:v>
      </x:c>
      <x:c r="T60" s="12" t="str">
        <x:v>GDDR6X</x:v>
      </x:c>
      <x:c r="U60" s="105" t="n">
        <x:v>384</x:v>
      </x:c>
      <x:c r="V60" s="105" t="n">
        <x:v>38054</x:v>
      </x:c>
      <x:c r="W60" s="105" t="n">
        <x:v>1303</x:v>
      </x:c>
      <x:c r="X60" s="105" t="n">
        <x:v>450</x:v>
      </x:c>
      <x:c r="Y60" s="102" t="n">
        <x:v>46218</x:v>
      </x:c>
      <x:c r="Z60" s="165" t="n">
        <x:f>IF(A60="","",ROUND(V60/INDEX($V$5:$V$87,MATCH($AA$3,$A$5:$A$87,0))*100,1))</x:f>
        <x:v>195.2</x:v>
      </x:c>
      <x:c r="AA60" s="167" t="n">
        <x:f>IF(V60="","",COUNTIF($V$5:$V$87,"&gt;"&amp;V60)+1)</x:f>
        <x:v>2</x:v>
      </x:c>
      <x:c r="AB60" s="163" t="str">
        <x:f>IF(Z60="","",IF(Z60&gt;='Lists'!$AL$9,'Lists'!$AK$9,IF(Z60&gt;='Lists'!$AL$8,'Lists'!$AK$8,IF(Z60&gt;='Lists'!$AL$7,'Lists'!$AK$7,IF(Z60&gt;='Lists'!$AL$6,'Lists'!$AK$6,'Lists'!$AK$5)))))</x:f>
        <x:v>フラッグシップ</x:v>
      </x:c>
      <x:c r="AC60" s="165" t="n">
        <x:f>IF(OR(V60="",X60="",X60=0),"",ROUND(V60/X60,1))</x:f>
        <x:v>84.6</x:v>
      </x:c>
    </x:row>
    <x:row r="61" ht="38" customHeight="1">
      <x:c r="A61" s="12" t="str">
        <x:v>nvidia-geforce-rtx-5050</x:v>
      </x:c>
      <x:c r="B61" s="12" t="str">
        <x:v>NVIDIA</x:v>
      </x:c>
      <x:c r="C61" s="12" t="str">
        <x:v>GeForce RTX 5050</x:v>
      </x:c>
      <x:c r="D61" s="12" t="str">
        <x:v>NVIDIA GeForce RTX 5050</x:v>
      </x:c>
      <x:c r="E61" s="12" t="str">
        <x:v>GeForce RTX 5050</x:v>
      </x:c>
      <x:c r="F61" s="12" t="str">
        <x:v>research_required</x:v>
      </x:c>
      <x:c r="G61" s="12" t="str">
        <x:v>unrated</x:v>
      </x:c>
      <x:c r="H61" s="102" t="n">
        <x:v>46218</x:v>
      </x:c>
      <x:c r="I61" s="14" t="str">
        <x:v>GPUチップ性能比較用の基準レコード。実製品の冷却・騒音・寸法・保証はGPUシートのボードSKUで別評価します。</x:v>
      </x:c>
      <x:c r="J61" s="14"/>
      <x:c r="K61" s="14"/>
      <x:c r="L61" s="14" t="str">
        <x:v>ボードメーカー別の品質・保証・電源・寸法は未評価</x:v>
      </x:c>
      <x:c r="M61" s="14" t="str">
        <x:v>PassMark値は2026-07-15確認時点。販売商品への自動承認には使用せず、個別ボードSKUを別途登録してください。</x:v>
      </x:c>
      <x:c r="N61" s="12" t="str">
        <x:v>Blackwell</x:v>
      </x:c>
      <x:c r="O61" s="12" t="str">
        <x:v>GeForce RTX 50 Series</x:v>
      </x:c>
      <x:c r="P61" s="102"/>
      <x:c r="Q61" s="12" t="str">
        <x:v>2025-07</x:v>
      </x:c>
      <x:c r="R61" s="12" t="str">
        <x:v>month</x:v>
      </x:c>
      <x:c r="S61" s="104" t="n">
        <x:v>8</x:v>
      </x:c>
      <x:c r="T61" s="12" t="str">
        <x:v>GDDR6</x:v>
      </x:c>
      <x:c r="U61" s="105" t="n">
        <x:v>128</x:v>
      </x:c>
      <x:c r="V61" s="105" t="n">
        <x:v>16954</x:v>
      </x:c>
      <x:c r="W61" s="105" t="n">
        <x:v>1070</x:v>
      </x:c>
      <x:c r="X61" s="105" t="n">
        <x:v>130</x:v>
      </x:c>
      <x:c r="Y61" s="102" t="n">
        <x:v>46218</x:v>
      </x:c>
      <x:c r="Z61" s="164" t="n">
        <x:f>IF(A61="","",ROUND(V61/INDEX($V$5:$V$87,MATCH($AA$3,$A$5:$A$87,0))*100,1))</x:f>
        <x:v>87</x:v>
      </x:c>
      <x:c r="AA61" s="166" t="n">
        <x:f>IF(V61="","",COUNTIF($V$5:$V$87,"&gt;"&amp;V61)+1)</x:f>
        <x:v>50</x:v>
      </x:c>
      <x:c r="AB61" s="162" t="str">
        <x:f>IF(Z61="","",IF(Z61&gt;='Lists'!$AL$9,'Lists'!$AK$9,IF(Z61&gt;='Lists'!$AL$8,'Lists'!$AK$8,IF(Z61&gt;='Lists'!$AL$7,'Lists'!$AK$7,IF(Z61&gt;='Lists'!$AL$6,'Lists'!$AK$6,'Lists'!$AK$5)))))</x:f>
        <x:v>メインストリーム</x:v>
      </x:c>
      <x:c r="AC61" s="164" t="n">
        <x:f>IF(OR(V61="",X61="",X61=0),"",ROUND(V61/X61,1))</x:f>
        <x:v>130.4</x:v>
      </x:c>
    </x:row>
    <x:row r="62" ht="38" customHeight="1">
      <x:c r="A62" s="12" t="str">
        <x:v>nvidia-geforce-rtx-5060</x:v>
      </x:c>
      <x:c r="B62" s="12" t="str">
        <x:v>NVIDIA</x:v>
      </x:c>
      <x:c r="C62" s="12" t="str">
        <x:v>GeForce RTX 5060</x:v>
      </x:c>
      <x:c r="D62" s="12" t="str">
        <x:v>NVIDIA GeForce RTX 5060</x:v>
      </x:c>
      <x:c r="E62" s="12" t="str">
        <x:v>GeForce RTX 5060</x:v>
      </x:c>
      <x:c r="F62" s="12" t="str">
        <x:v>research_required</x:v>
      </x:c>
      <x:c r="G62" s="12" t="str">
        <x:v>unrated</x:v>
      </x:c>
      <x:c r="H62" s="102" t="n">
        <x:v>46218</x:v>
      </x:c>
      <x:c r="I62" s="14" t="str">
        <x:v>GPUチップ性能比較用の基準レコード。実製品の冷却・騒音・寸法・保証はGPUシートのボードSKUで別評価します。</x:v>
      </x:c>
      <x:c r="J62" s="14"/>
      <x:c r="K62" s="14"/>
      <x:c r="L62" s="14" t="str">
        <x:v>ボードメーカー別の品質・保証・電源・寸法は未評価</x:v>
      </x:c>
      <x:c r="M62" s="14" t="str">
        <x:v>PassMark値は2026-07-15確認時点。販売商品への自動承認には使用せず、個別ボードSKUを別途登録してください。</x:v>
      </x:c>
      <x:c r="N62" s="12" t="str">
        <x:v>Blackwell</x:v>
      </x:c>
      <x:c r="O62" s="12" t="str">
        <x:v>GeForce RTX 50 Series</x:v>
      </x:c>
      <x:c r="P62" s="102" t="n">
        <x:v>45796</x:v>
      </x:c>
      <x:c r="Q62" s="12" t="str">
        <x:v>2025-05-19</x:v>
      </x:c>
      <x:c r="R62" s="12" t="str">
        <x:v>exact</x:v>
      </x:c>
      <x:c r="S62" s="104" t="n">
        <x:v>8</x:v>
      </x:c>
      <x:c r="T62" s="12" t="str">
        <x:v>GDDR7</x:v>
      </x:c>
      <x:c r="U62" s="105" t="n">
        <x:v>128</x:v>
      </x:c>
      <x:c r="V62" s="105" t="n">
        <x:v>20692</x:v>
      </x:c>
      <x:c r="W62" s="105" t="n">
        <x:v>1150</x:v>
      </x:c>
      <x:c r="X62" s="105" t="n">
        <x:v>170</x:v>
      </x:c>
      <x:c r="Y62" s="102" t="n">
        <x:v>46218</x:v>
      </x:c>
      <x:c r="Z62" s="165" t="n">
        <x:f>IF(A62="","",ROUND(V62/INDEX($V$5:$V$87,MATCH($AA$3,$A$5:$A$87,0))*100,1))</x:f>
        <x:v>106.1</x:v>
      </x:c>
      <x:c r="AA62" s="167" t="n">
        <x:f>IF(V62="","",COUNTIF($V$5:$V$87,"&gt;"&amp;V62)+1)</x:f>
        <x:v>37</x:v>
      </x:c>
      <x:c r="AB62" s="163" t="str">
        <x:f>IF(Z62="","",IF(Z62&gt;='Lists'!$AL$9,'Lists'!$AK$9,IF(Z62&gt;='Lists'!$AL$8,'Lists'!$AK$8,IF(Z62&gt;='Lists'!$AL$7,'Lists'!$AK$7,IF(Z62&gt;='Lists'!$AL$6,'Lists'!$AK$6,'Lists'!$AK$5)))))</x:f>
        <x:v>メインストリーム</x:v>
      </x:c>
      <x:c r="AC62" s="165" t="n">
        <x:f>IF(OR(V62="",X62="",X62=0),"",ROUND(V62/X62,1))</x:f>
        <x:v>121.7</x:v>
      </x:c>
    </x:row>
    <x:row r="63" ht="38" customHeight="1">
      <x:c r="A63" s="12" t="str">
        <x:v>nvidia-geforce-rtx-5060-ti-8gb</x:v>
      </x:c>
      <x:c r="B63" s="12" t="str">
        <x:v>NVIDIA</x:v>
      </x:c>
      <x:c r="C63" s="12" t="str">
        <x:v>GeForce RTX 5060 Ti 8GB</x:v>
      </x:c>
      <x:c r="D63" s="12" t="str">
        <x:v>NVIDIA GeForce RTX 5060 Ti 8GB</x:v>
      </x:c>
      <x:c r="E63" s="12" t="str">
        <x:v>GeForce RTX 5060 Ti 8GB</x:v>
      </x:c>
      <x:c r="F63" s="12" t="str">
        <x:v>research_required</x:v>
      </x:c>
      <x:c r="G63" s="12" t="str">
        <x:v>unrated</x:v>
      </x:c>
      <x:c r="H63" s="102" t="n">
        <x:v>46218</x:v>
      </x:c>
      <x:c r="I63" s="14" t="str">
        <x:v>GPUチップ性能比較用の基準レコード。実製品の冷却・騒音・寸法・保証はGPUシートのボードSKUで別評価します。</x:v>
      </x:c>
      <x:c r="J63" s="14"/>
      <x:c r="K63" s="14"/>
      <x:c r="L63" s="14" t="str">
        <x:v>ボードメーカー別の品質・保証・電源・寸法は未評価</x:v>
      </x:c>
      <x:c r="M63" s="14" t="str">
        <x:v>PassMark値は2026-07-15確認時点。販売商品への自動承認には使用せず、個別ボードSKUを別途登録してください。</x:v>
      </x:c>
      <x:c r="N63" s="12" t="str">
        <x:v>Blackwell</x:v>
      </x:c>
      <x:c r="O63" s="12" t="str">
        <x:v>GeForce RTX 50 Series</x:v>
      </x:c>
      <x:c r="P63" s="102" t="n">
        <x:v>45763</x:v>
      </x:c>
      <x:c r="Q63" s="12" t="str">
        <x:v>2025-04-16</x:v>
      </x:c>
      <x:c r="R63" s="12" t="str">
        <x:v>exact</x:v>
      </x:c>
      <x:c r="S63" s="104" t="n">
        <x:v>8</x:v>
      </x:c>
      <x:c r="T63" s="12" t="str">
        <x:v>GDDR7</x:v>
      </x:c>
      <x:c r="U63" s="105" t="n">
        <x:v>128</x:v>
      </x:c>
      <x:c r="V63" s="105" t="n">
        <x:v>22067</x:v>
      </x:c>
      <x:c r="W63" s="105" t="n">
        <x:v>1175</x:v>
      </x:c>
      <x:c r="X63" s="105" t="n">
        <x:v>180</x:v>
      </x:c>
      <x:c r="Y63" s="102" t="n">
        <x:v>46218</x:v>
      </x:c>
      <x:c r="Z63" s="164" t="n">
        <x:f>IF(A63="","",ROUND(V63/INDEX($V$5:$V$87,MATCH($AA$3,$A$5:$A$87,0))*100,1))</x:f>
        <x:v>113.2</x:v>
      </x:c>
      <x:c r="AA63" s="166" t="n">
        <x:f>IF(V63="","",COUNTIF($V$5:$V$87,"&gt;"&amp;V63)+1)</x:f>
        <x:v>34</x:v>
      </x:c>
      <x:c r="AB63" s="162" t="str">
        <x:f>IF(Z63="","",IF(Z63&gt;='Lists'!$AL$9,'Lists'!$AK$9,IF(Z63&gt;='Lists'!$AL$8,'Lists'!$AK$8,IF(Z63&gt;='Lists'!$AL$7,'Lists'!$AK$7,IF(Z63&gt;='Lists'!$AL$6,'Lists'!$AK$6,'Lists'!$AK$5)))))</x:f>
        <x:v>ミドルレンジ</x:v>
      </x:c>
      <x:c r="AC63" s="164" t="n">
        <x:f>IF(OR(V63="",X63="",X63=0),"",ROUND(V63/X63,1))</x:f>
        <x:v>122.6</x:v>
      </x:c>
    </x:row>
    <x:row r="64" ht="38" customHeight="1">
      <x:c r="A64" s="12" t="str">
        <x:v>nvidia-geforce-rtx-5060-ti-16gb</x:v>
      </x:c>
      <x:c r="B64" s="12" t="str">
        <x:v>NVIDIA</x:v>
      </x:c>
      <x:c r="C64" s="12" t="str">
        <x:v>GeForce RTX 5060 Ti 16GB</x:v>
      </x:c>
      <x:c r="D64" s="12" t="str">
        <x:v>NVIDIA GeForce RTX 5060 Ti 16GB</x:v>
      </x:c>
      <x:c r="E64" s="12" t="str">
        <x:v>GeForce RTX 5060 Ti 16GB</x:v>
      </x:c>
      <x:c r="F64" s="12" t="str">
        <x:v>research_required</x:v>
      </x:c>
      <x:c r="G64" s="12" t="str">
        <x:v>unrated</x:v>
      </x:c>
      <x:c r="H64" s="102" t="n">
        <x:v>46218</x:v>
      </x:c>
      <x:c r="I64" s="14" t="str">
        <x:v>GPUチップ性能比較用の基準レコード。実製品の冷却・騒音・寸法・保証はGPUシートのボードSKUで別評価します。</x:v>
      </x:c>
      <x:c r="J64" s="14"/>
      <x:c r="K64" s="14"/>
      <x:c r="L64" s="14" t="str">
        <x:v>ボードメーカー別の品質・保証・電源・寸法は未評価</x:v>
      </x:c>
      <x:c r="M64" s="14" t="str">
        <x:v>PassMark値は2026-07-15確認時点。販売商品への自動承認には使用せず、個別ボードSKUを別途登録してください。</x:v>
      </x:c>
      <x:c r="N64" s="12" t="str">
        <x:v>Blackwell</x:v>
      </x:c>
      <x:c r="O64" s="12" t="str">
        <x:v>GeForce RTX 50 Series</x:v>
      </x:c>
      <x:c r="P64" s="102" t="n">
        <x:v>45763</x:v>
      </x:c>
      <x:c r="Q64" s="12" t="str">
        <x:v>2025-04-16</x:v>
      </x:c>
      <x:c r="R64" s="12" t="str">
        <x:v>exact</x:v>
      </x:c>
      <x:c r="S64" s="104" t="n">
        <x:v>16</x:v>
      </x:c>
      <x:c r="T64" s="12" t="str">
        <x:v>GDDR7</x:v>
      </x:c>
      <x:c r="U64" s="105" t="n">
        <x:v>128</x:v>
      </x:c>
      <x:c r="V64" s="105" t="n">
        <x:v>22626</x:v>
      </x:c>
      <x:c r="W64" s="105" t="n">
        <x:v>1207</x:v>
      </x:c>
      <x:c r="X64" s="105" t="n">
        <x:v>180</x:v>
      </x:c>
      <x:c r="Y64" s="102" t="n">
        <x:v>46218</x:v>
      </x:c>
      <x:c r="Z64" s="165" t="n">
        <x:f>IF(A64="","",ROUND(V64/INDEX($V$5:$V$87,MATCH($AA$3,$A$5:$A$87,0))*100,1))</x:f>
        <x:v>116.1</x:v>
      </x:c>
      <x:c r="AA64" s="167" t="n">
        <x:f>IF(V64="","",COUNTIF($V$5:$V$87,"&gt;"&amp;V64)+1)</x:f>
        <x:v>29</x:v>
      </x:c>
      <x:c r="AB64" s="163" t="str">
        <x:f>IF(Z64="","",IF(Z64&gt;='Lists'!$AL$9,'Lists'!$AK$9,IF(Z64&gt;='Lists'!$AL$8,'Lists'!$AK$8,IF(Z64&gt;='Lists'!$AL$7,'Lists'!$AK$7,IF(Z64&gt;='Lists'!$AL$6,'Lists'!$AK$6,'Lists'!$AK$5)))))</x:f>
        <x:v>ミドルレンジ</x:v>
      </x:c>
      <x:c r="AC64" s="165" t="n">
        <x:f>IF(OR(V64="",X64="",X64=0),"",ROUND(V64/X64,1))</x:f>
        <x:v>125.7</x:v>
      </x:c>
    </x:row>
    <x:row r="65" ht="38" customHeight="1">
      <x:c r="A65" s="12" t="str">
        <x:v>nvidia-geforce-rtx-5070</x:v>
      </x:c>
      <x:c r="B65" s="12" t="str">
        <x:v>NVIDIA</x:v>
      </x:c>
      <x:c r="C65" s="12" t="str">
        <x:v>GeForce RTX 5070</x:v>
      </x:c>
      <x:c r="D65" s="12" t="str">
        <x:v>NVIDIA GeForce RTX 5070</x:v>
      </x:c>
      <x:c r="E65" s="12" t="str">
        <x:v>GeForce RTX 5070</x:v>
      </x:c>
      <x:c r="F65" s="12" t="str">
        <x:v>research_required</x:v>
      </x:c>
      <x:c r="G65" s="12" t="str">
        <x:v>unrated</x:v>
      </x:c>
      <x:c r="H65" s="102" t="n">
        <x:v>46218</x:v>
      </x:c>
      <x:c r="I65" s="14" t="str">
        <x:v>GPUチップ性能比較用の基準レコード。実製品の冷却・騒音・寸法・保証はGPUシートのボードSKUで別評価します。</x:v>
      </x:c>
      <x:c r="J65" s="14"/>
      <x:c r="K65" s="14"/>
      <x:c r="L65" s="14" t="str">
        <x:v>ボードメーカー別の品質・保証・電源・寸法は未評価</x:v>
      </x:c>
      <x:c r="M65" s="14" t="str">
        <x:v>PassMark値は2026-07-15確認時点。販売商品への自動承認には使用せず、個別ボードSKUを別途登録してください。</x:v>
      </x:c>
      <x:c r="N65" s="12" t="str">
        <x:v>Blackwell</x:v>
      </x:c>
      <x:c r="O65" s="12" t="str">
        <x:v>GeForce RTX 50 Series</x:v>
      </x:c>
      <x:c r="P65" s="102" t="n">
        <x:v>45721</x:v>
      </x:c>
      <x:c r="Q65" s="12" t="str">
        <x:v>2025-03-05</x:v>
      </x:c>
      <x:c r="R65" s="12" t="str">
        <x:v>exact</x:v>
      </x:c>
      <x:c r="S65" s="104" t="n">
        <x:v>12</x:v>
      </x:c>
      <x:c r="T65" s="12" t="str">
        <x:v>GDDR7</x:v>
      </x:c>
      <x:c r="U65" s="105" t="n">
        <x:v>192</x:v>
      </x:c>
      <x:c r="V65" s="105" t="n">
        <x:v>28684</x:v>
      </x:c>
      <x:c r="W65" s="105" t="n">
        <x:v>1294</x:v>
      </x:c>
      <x:c r="X65" s="105" t="n">
        <x:v>250</x:v>
      </x:c>
      <x:c r="Y65" s="102" t="n">
        <x:v>46218</x:v>
      </x:c>
      <x:c r="Z65" s="164" t="n">
        <x:f>IF(A65="","",ROUND(V65/INDEX($V$5:$V$87,MATCH($AA$3,$A$5:$A$87,0))*100,1))</x:f>
        <x:v>147.1</x:v>
      </x:c>
      <x:c r="AA65" s="166" t="n">
        <x:f>IF(V65="","",COUNTIF($V$5:$V$87,"&gt;"&amp;V65)+1)</x:f>
        <x:v>13</x:v>
      </x:c>
      <x:c r="AB65" s="162" t="str">
        <x:f>IF(Z65="","",IF(Z65&gt;='Lists'!$AL$9,'Lists'!$AK$9,IF(Z65&gt;='Lists'!$AL$8,'Lists'!$AK$8,IF(Z65&gt;='Lists'!$AL$7,'Lists'!$AK$7,IF(Z65&gt;='Lists'!$AL$6,'Lists'!$AK$6,'Lists'!$AK$5)))))</x:f>
        <x:v>ハイエンド</x:v>
      </x:c>
      <x:c r="AC65" s="164" t="n">
        <x:f>IF(OR(V65="",X65="",X65=0),"",ROUND(V65/X65,1))</x:f>
        <x:v>114.7</x:v>
      </x:c>
    </x:row>
    <x:row r="66" ht="38" customHeight="1">
      <x:c r="A66" s="12" t="str">
        <x:v>nvidia-geforce-rtx-5070-ti</x:v>
      </x:c>
      <x:c r="B66" s="12" t="str">
        <x:v>NVIDIA</x:v>
      </x:c>
      <x:c r="C66" s="12" t="str">
        <x:v>GeForce RTX 5070 Ti</x:v>
      </x:c>
      <x:c r="D66" s="12" t="str">
        <x:v>NVIDIA GeForce RTX 5070 Ti</x:v>
      </x:c>
      <x:c r="E66" s="12" t="str">
        <x:v>GeForce RTX 5070 Ti</x:v>
      </x:c>
      <x:c r="F66" s="12" t="str">
        <x:v>research_required</x:v>
      </x:c>
      <x:c r="G66" s="12" t="str">
        <x:v>unrated</x:v>
      </x:c>
      <x:c r="H66" s="102" t="n">
        <x:v>46218</x:v>
      </x:c>
      <x:c r="I66" s="14" t="str">
        <x:v>GPUチップ性能比較用の基準レコード。実製品の冷却・騒音・寸法・保証はGPUシートのボードSKUで別評価します。</x:v>
      </x:c>
      <x:c r="J66" s="14"/>
      <x:c r="K66" s="14"/>
      <x:c r="L66" s="14" t="str">
        <x:v>ボードメーカー別の品質・保証・電源・寸法は未評価</x:v>
      </x:c>
      <x:c r="M66" s="14" t="str">
        <x:v>PassMark値は2026-07-15確認時点。販売商品への自動承認には使用せず、個別ボードSKUを別途登録してください。</x:v>
      </x:c>
      <x:c r="N66" s="12" t="str">
        <x:v>Blackwell</x:v>
      </x:c>
      <x:c r="O66" s="12" t="str">
        <x:v>GeForce RTX 50 Series</x:v>
      </x:c>
      <x:c r="P66" s="102" t="n">
        <x:v>45708</x:v>
      </x:c>
      <x:c r="Q66" s="12" t="str">
        <x:v>2025-02-20</x:v>
      </x:c>
      <x:c r="R66" s="12" t="str">
        <x:v>exact</x:v>
      </x:c>
      <x:c r="S66" s="104" t="n">
        <x:v>16</x:v>
      </x:c>
      <x:c r="T66" s="12" t="str">
        <x:v>GDDR7</x:v>
      </x:c>
      <x:c r="U66" s="105" t="n">
        <x:v>256</x:v>
      </x:c>
      <x:c r="V66" s="105" t="n">
        <x:v>32367</x:v>
      </x:c>
      <x:c r="W66" s="105" t="n">
        <x:v>1326</x:v>
      </x:c>
      <x:c r="X66" s="105" t="n">
        <x:v>300</x:v>
      </x:c>
      <x:c r="Y66" s="102" t="n">
        <x:v>46218</x:v>
      </x:c>
      <x:c r="Z66" s="165" t="n">
        <x:f>IF(A66="","",ROUND(V66/INDEX($V$5:$V$87,MATCH($AA$3,$A$5:$A$87,0))*100,1))</x:f>
        <x:v>166</x:v>
      </x:c>
      <x:c r="AA66" s="167" t="n">
        <x:f>IF(V66="","",COUNTIF($V$5:$V$87,"&gt;"&amp;V66)+1)</x:f>
        <x:v>6</x:v>
      </x:c>
      <x:c r="AB66" s="163" t="str">
        <x:f>IF(Z66="","",IF(Z66&gt;='Lists'!$AL$9,'Lists'!$AK$9,IF(Z66&gt;='Lists'!$AL$8,'Lists'!$AK$8,IF(Z66&gt;='Lists'!$AL$7,'Lists'!$AK$7,IF(Z66&gt;='Lists'!$AL$6,'Lists'!$AK$6,'Lists'!$AK$5)))))</x:f>
        <x:v>ハイエンド</x:v>
      </x:c>
      <x:c r="AC66" s="165" t="n">
        <x:f>IF(OR(V66="",X66="",X66=0),"",ROUND(V66/X66,1))</x:f>
        <x:v>107.9</x:v>
      </x:c>
    </x:row>
    <x:row r="67" ht="38" customHeight="1">
      <x:c r="A67" s="12" t="str">
        <x:v>nvidia-geforce-rtx-5080</x:v>
      </x:c>
      <x:c r="B67" s="12" t="str">
        <x:v>NVIDIA</x:v>
      </x:c>
      <x:c r="C67" s="12" t="str">
        <x:v>GeForce RTX 5080</x:v>
      </x:c>
      <x:c r="D67" s="12" t="str">
        <x:v>NVIDIA GeForce RTX 5080</x:v>
      </x:c>
      <x:c r="E67" s="12" t="str">
        <x:v>GeForce RTX 5080</x:v>
      </x:c>
      <x:c r="F67" s="12" t="str">
        <x:v>research_required</x:v>
      </x:c>
      <x:c r="G67" s="12" t="str">
        <x:v>unrated</x:v>
      </x:c>
      <x:c r="H67" s="102" t="n">
        <x:v>46218</x:v>
      </x:c>
      <x:c r="I67" s="14" t="str">
        <x:v>GPUチップ性能比較用の基準レコード。実製品の冷却・騒音・寸法・保証はGPUシートのボードSKUで別評価します。</x:v>
      </x:c>
      <x:c r="J67" s="14"/>
      <x:c r="K67" s="14"/>
      <x:c r="L67" s="14" t="str">
        <x:v>ボードメーカー別の品質・保証・電源・寸法は未評価</x:v>
      </x:c>
      <x:c r="M67" s="14" t="str">
        <x:v>PassMark値は2026-07-15確認時点。販売商品への自動承認には使用せず、個別ボードSKUを別途登録してください。</x:v>
      </x:c>
      <x:c r="N67" s="12" t="str">
        <x:v>Blackwell</x:v>
      </x:c>
      <x:c r="O67" s="12" t="str">
        <x:v>GeForce RTX 50 Series</x:v>
      </x:c>
      <x:c r="P67" s="102" t="n">
        <x:v>45687</x:v>
      </x:c>
      <x:c r="Q67" s="12" t="str">
        <x:v>2025-01-30</x:v>
      </x:c>
      <x:c r="R67" s="12" t="str">
        <x:v>exact</x:v>
      </x:c>
      <x:c r="S67" s="104" t="n">
        <x:v>16</x:v>
      </x:c>
      <x:c r="T67" s="12" t="str">
        <x:v>GDDR7</x:v>
      </x:c>
      <x:c r="U67" s="105" t="n">
        <x:v>256</x:v>
      </x:c>
      <x:c r="V67" s="105" t="n">
        <x:v>35656</x:v>
      </x:c>
      <x:c r="W67" s="105" t="n">
        <x:v>1402</x:v>
      </x:c>
      <x:c r="X67" s="105" t="n">
        <x:v>360</x:v>
      </x:c>
      <x:c r="Y67" s="102" t="n">
        <x:v>46218</x:v>
      </x:c>
      <x:c r="Z67" s="164" t="n">
        <x:f>IF(A67="","",ROUND(V67/INDEX($V$5:$V$87,MATCH($AA$3,$A$5:$A$87,0))*100,1))</x:f>
        <x:v>182.9</x:v>
      </x:c>
      <x:c r="AA67" s="166" t="n">
        <x:f>IF(V67="","",COUNTIF($V$5:$V$87,"&gt;"&amp;V67)+1)</x:f>
        <x:v>3</x:v>
      </x:c>
      <x:c r="AB67" s="162" t="str">
        <x:f>IF(Z67="","",IF(Z67&gt;='Lists'!$AL$9,'Lists'!$AK$9,IF(Z67&gt;='Lists'!$AL$8,'Lists'!$AK$8,IF(Z67&gt;='Lists'!$AL$7,'Lists'!$AK$7,IF(Z67&gt;='Lists'!$AL$6,'Lists'!$AK$6,'Lists'!$AK$5)))))</x:f>
        <x:v>フラッグシップ</x:v>
      </x:c>
      <x:c r="AC67" s="164" t="n">
        <x:f>IF(OR(V67="",X67="",X67=0),"",ROUND(V67/X67,1))</x:f>
        <x:v>99</x:v>
      </x:c>
    </x:row>
    <x:row r="68" ht="38" customHeight="1">
      <x:c r="A68" s="12" t="str">
        <x:v>nvidia-geforce-rtx-5090</x:v>
      </x:c>
      <x:c r="B68" s="12" t="str">
        <x:v>NVIDIA</x:v>
      </x:c>
      <x:c r="C68" s="12" t="str">
        <x:v>GeForce RTX 5090</x:v>
      </x:c>
      <x:c r="D68" s="12" t="str">
        <x:v>NVIDIA GeForce RTX 5090</x:v>
      </x:c>
      <x:c r="E68" s="12" t="str">
        <x:v>GeForce RTX 5090</x:v>
      </x:c>
      <x:c r="F68" s="12" t="str">
        <x:v>research_required</x:v>
      </x:c>
      <x:c r="G68" s="12" t="str">
        <x:v>unrated</x:v>
      </x:c>
      <x:c r="H68" s="102" t="n">
        <x:v>46218</x:v>
      </x:c>
      <x:c r="I68" s="14" t="str">
        <x:v>GPUチップ性能比較用の基準レコード。実製品の冷却・騒音・寸法・保証はGPUシートのボードSKUで別評価します。</x:v>
      </x:c>
      <x:c r="J68" s="14"/>
      <x:c r="K68" s="14"/>
      <x:c r="L68" s="14" t="str">
        <x:v>ボードメーカー別の品質・保証・電源・寸法は未評価</x:v>
      </x:c>
      <x:c r="M68" s="14" t="str">
        <x:v>PassMark値は2026-07-15確認時点。販売商品への自動承認には使用せず、個別ボードSKUを別途登録してください。</x:v>
      </x:c>
      <x:c r="N68" s="12" t="str">
        <x:v>Blackwell</x:v>
      </x:c>
      <x:c r="O68" s="12" t="str">
        <x:v>GeForce RTX 50 Series</x:v>
      </x:c>
      <x:c r="P68" s="102" t="n">
        <x:v>45687</x:v>
      </x:c>
      <x:c r="Q68" s="12" t="str">
        <x:v>2025-01-30</x:v>
      </x:c>
      <x:c r="R68" s="12" t="str">
        <x:v>exact</x:v>
      </x:c>
      <x:c r="S68" s="104" t="n">
        <x:v>32</x:v>
      </x:c>
      <x:c r="T68" s="12" t="str">
        <x:v>GDDR7</x:v>
      </x:c>
      <x:c r="U68" s="105" t="n">
        <x:v>512</x:v>
      </x:c>
      <x:c r="V68" s="105" t="n">
        <x:v>38970</x:v>
      </x:c>
      <x:c r="W68" s="105" t="n">
        <x:v>1411</x:v>
      </x:c>
      <x:c r="X68" s="105" t="n">
        <x:v>575</x:v>
      </x:c>
      <x:c r="Y68" s="102" t="n">
        <x:v>46218</x:v>
      </x:c>
      <x:c r="Z68" s="165" t="n">
        <x:f>IF(A68="","",ROUND(V68/INDEX($V$5:$V$87,MATCH($AA$3,$A$5:$A$87,0))*100,1))</x:f>
        <x:v>199.9</x:v>
      </x:c>
      <x:c r="AA68" s="167" t="n">
        <x:f>IF(V68="","",COUNTIF($V$5:$V$87,"&gt;"&amp;V68)+1)</x:f>
        <x:v>1</x:v>
      </x:c>
      <x:c r="AB68" s="163" t="str">
        <x:f>IF(Z68="","",IF(Z68&gt;='Lists'!$AL$9,'Lists'!$AK$9,IF(Z68&gt;='Lists'!$AL$8,'Lists'!$AK$8,IF(Z68&gt;='Lists'!$AL$7,'Lists'!$AK$7,IF(Z68&gt;='Lists'!$AL$6,'Lists'!$AK$6,'Lists'!$AK$5)))))</x:f>
        <x:v>フラッグシップ</x:v>
      </x:c>
      <x:c r="AC68" s="165" t="n">
        <x:f>IF(OR(V68="",X68="",X68=0),"",ROUND(V68/X68,1))</x:f>
        <x:v>67.8</x:v>
      </x:c>
    </x:row>
    <x:row r="69">
      <x:c r="A69" s="12"/>
      <x:c r="B69" s="12"/>
      <x:c r="C69" s="12"/>
      <x:c r="D69" s="12"/>
      <x:c r="E69" s="12"/>
      <x:c r="F69" s="12"/>
      <x:c r="G69" s="12"/>
      <x:c r="H69" s="102"/>
      <x:c r="I69" s="14"/>
      <x:c r="J69" s="14"/>
      <x:c r="K69" s="14"/>
      <x:c r="L69" s="14"/>
      <x:c r="M69" s="14"/>
      <x:c r="N69" s="12"/>
      <x:c r="O69" s="12"/>
      <x:c r="P69" s="102"/>
      <x:c r="Q69" s="12"/>
      <x:c r="R69" s="12"/>
      <x:c r="S69" s="104"/>
      <x:c r="T69" s="12"/>
      <x:c r="U69" s="105"/>
      <x:c r="V69" s="105"/>
      <x:c r="W69" s="105"/>
      <x:c r="X69" s="105"/>
      <x:c r="Y69" s="102"/>
      <x:c r="Z69" s="164" t="str">
        <x:f>IF(A69="","",ROUND(V69/INDEX($V$5:$V$87,MATCH($AA$3,$A$5:$A$87,0))*100,1))</x:f>
      </x:c>
      <x:c r="AA69" s="166" t="str">
        <x:f>IF(V69="","",COUNTIF($V$5:$V$87,"&gt;"&amp;V69)+1)</x:f>
      </x:c>
      <x:c r="AB69" s="162" t="str">
        <x:f>IF(Z69="","",IF(Z69&gt;='Lists'!$AL$9,'Lists'!$AK$9,IF(Z69&gt;='Lists'!$AL$8,'Lists'!$AK$8,IF(Z69&gt;='Lists'!$AL$7,'Lists'!$AK$7,IF(Z69&gt;='Lists'!$AL$6,'Lists'!$AK$6,'Lists'!$AK$5)))))</x:f>
      </x:c>
      <x:c r="AC69" s="164" t="str">
        <x:f>IF(OR(V69="",X69="",X69=0),"",ROUND(V69/X69,1))</x:f>
      </x:c>
    </x:row>
    <x:row r="70">
      <x:c r="A70" s="12"/>
      <x:c r="B70" s="12"/>
      <x:c r="C70" s="12"/>
      <x:c r="D70" s="12"/>
      <x:c r="E70" s="12"/>
      <x:c r="F70" s="12"/>
      <x:c r="G70" s="12"/>
      <x:c r="H70" s="102"/>
      <x:c r="I70" s="14"/>
      <x:c r="J70" s="14"/>
      <x:c r="K70" s="14"/>
      <x:c r="L70" s="14"/>
      <x:c r="M70" s="14"/>
      <x:c r="N70" s="12"/>
      <x:c r="O70" s="12"/>
      <x:c r="P70" s="102"/>
      <x:c r="Q70" s="12"/>
      <x:c r="R70" s="12"/>
      <x:c r="S70" s="104"/>
      <x:c r="T70" s="12"/>
      <x:c r="U70" s="105"/>
      <x:c r="V70" s="105"/>
      <x:c r="W70" s="105"/>
      <x:c r="X70" s="105"/>
      <x:c r="Y70" s="102"/>
      <x:c r="Z70" s="165" t="str">
        <x:f>IF(A70="","",ROUND(V70/INDEX($V$5:$V$87,MATCH($AA$3,$A$5:$A$87,0))*100,1))</x:f>
      </x:c>
      <x:c r="AA70" s="167" t="str">
        <x:f>IF(V70="","",COUNTIF($V$5:$V$87,"&gt;"&amp;V70)+1)</x:f>
      </x:c>
      <x:c r="AB70" s="163" t="str">
        <x:f>IF(Z70="","",IF(Z70&gt;='Lists'!$AL$9,'Lists'!$AK$9,IF(Z70&gt;='Lists'!$AL$8,'Lists'!$AK$8,IF(Z70&gt;='Lists'!$AL$7,'Lists'!$AK$7,IF(Z70&gt;='Lists'!$AL$6,'Lists'!$AK$6,'Lists'!$AK$5)))))</x:f>
      </x:c>
      <x:c r="AC70" s="165" t="str">
        <x:f>IF(OR(V70="",X70="",X70=0),"",ROUND(V70/X70,1))</x:f>
      </x:c>
    </x:row>
    <x:row r="71">
      <x:c r="A71" s="12"/>
      <x:c r="B71" s="12"/>
      <x:c r="C71" s="12"/>
      <x:c r="D71" s="12"/>
      <x:c r="E71" s="12"/>
      <x:c r="F71" s="12"/>
      <x:c r="G71" s="12"/>
      <x:c r="H71" s="102"/>
      <x:c r="I71" s="14"/>
      <x:c r="J71" s="14"/>
      <x:c r="K71" s="14"/>
      <x:c r="L71" s="14"/>
      <x:c r="M71" s="14"/>
      <x:c r="N71" s="12"/>
      <x:c r="O71" s="12"/>
      <x:c r="P71" s="102"/>
      <x:c r="Q71" s="12"/>
      <x:c r="R71" s="12"/>
      <x:c r="S71" s="104"/>
      <x:c r="T71" s="12"/>
      <x:c r="U71" s="105"/>
      <x:c r="V71" s="105"/>
      <x:c r="W71" s="105"/>
      <x:c r="X71" s="105"/>
      <x:c r="Y71" s="102"/>
      <x:c r="Z71" s="164" t="str">
        <x:f>IF(A71="","",ROUND(V71/INDEX($V$5:$V$87,MATCH($AA$3,$A$5:$A$87,0))*100,1))</x:f>
      </x:c>
      <x:c r="AA71" s="166" t="str">
        <x:f>IF(V71="","",COUNTIF($V$5:$V$87,"&gt;"&amp;V71)+1)</x:f>
      </x:c>
      <x:c r="AB71" s="162" t="str">
        <x:f>IF(Z71="","",IF(Z71&gt;='Lists'!$AL$9,'Lists'!$AK$9,IF(Z71&gt;='Lists'!$AL$8,'Lists'!$AK$8,IF(Z71&gt;='Lists'!$AL$7,'Lists'!$AK$7,IF(Z71&gt;='Lists'!$AL$6,'Lists'!$AK$6,'Lists'!$AK$5)))))</x:f>
      </x:c>
      <x:c r="AC71" s="164" t="str">
        <x:f>IF(OR(V71="",X71="",X71=0),"",ROUND(V71/X71,1))</x:f>
      </x:c>
    </x:row>
    <x:row r="72">
      <x:c r="A72" s="12"/>
      <x:c r="B72" s="12"/>
      <x:c r="C72" s="12"/>
      <x:c r="D72" s="12"/>
      <x:c r="E72" s="12"/>
      <x:c r="F72" s="12"/>
      <x:c r="G72" s="12"/>
      <x:c r="H72" s="102"/>
      <x:c r="I72" s="14"/>
      <x:c r="J72" s="14"/>
      <x:c r="K72" s="14"/>
      <x:c r="L72" s="14"/>
      <x:c r="M72" s="14"/>
      <x:c r="N72" s="12"/>
      <x:c r="O72" s="12"/>
      <x:c r="P72" s="102"/>
      <x:c r="Q72" s="12"/>
      <x:c r="R72" s="12"/>
      <x:c r="S72" s="104"/>
      <x:c r="T72" s="12"/>
      <x:c r="U72" s="105"/>
      <x:c r="V72" s="105"/>
      <x:c r="W72" s="105"/>
      <x:c r="X72" s="105"/>
      <x:c r="Y72" s="102"/>
      <x:c r="Z72" s="165" t="str">
        <x:f>IF(A72="","",ROUND(V72/INDEX($V$5:$V$87,MATCH($AA$3,$A$5:$A$87,0))*100,1))</x:f>
      </x:c>
      <x:c r="AA72" s="167" t="str">
        <x:f>IF(V72="","",COUNTIF($V$5:$V$87,"&gt;"&amp;V72)+1)</x:f>
      </x:c>
      <x:c r="AB72" s="163" t="str">
        <x:f>IF(Z72="","",IF(Z72&gt;='Lists'!$AL$9,'Lists'!$AK$9,IF(Z72&gt;='Lists'!$AL$8,'Lists'!$AK$8,IF(Z72&gt;='Lists'!$AL$7,'Lists'!$AK$7,IF(Z72&gt;='Lists'!$AL$6,'Lists'!$AK$6,'Lists'!$AK$5)))))</x:f>
      </x:c>
      <x:c r="AC72" s="165" t="str">
        <x:f>IF(OR(V72="",X72="",X72=0),"",ROUND(V72/X72,1))</x:f>
      </x:c>
    </x:row>
    <x:row r="73">
      <x:c r="A73" s="12"/>
      <x:c r="B73" s="12"/>
      <x:c r="C73" s="12"/>
      <x:c r="D73" s="12"/>
      <x:c r="E73" s="12"/>
      <x:c r="F73" s="12"/>
      <x:c r="G73" s="12"/>
      <x:c r="H73" s="102"/>
      <x:c r="I73" s="14"/>
      <x:c r="J73" s="14"/>
      <x:c r="K73" s="14"/>
      <x:c r="L73" s="14"/>
      <x:c r="M73" s="14"/>
      <x:c r="N73" s="12"/>
      <x:c r="O73" s="12"/>
      <x:c r="P73" s="102"/>
      <x:c r="Q73" s="12"/>
      <x:c r="R73" s="12"/>
      <x:c r="S73" s="104"/>
      <x:c r="T73" s="12"/>
      <x:c r="U73" s="105"/>
      <x:c r="V73" s="105"/>
      <x:c r="W73" s="105"/>
      <x:c r="X73" s="105"/>
      <x:c r="Y73" s="102"/>
      <x:c r="Z73" s="164" t="str">
        <x:f>IF(A73="","",ROUND(V73/INDEX($V$5:$V$87,MATCH($AA$3,$A$5:$A$87,0))*100,1))</x:f>
      </x:c>
      <x:c r="AA73" s="166" t="str">
        <x:f>IF(V73="","",COUNTIF($V$5:$V$87,"&gt;"&amp;V73)+1)</x:f>
      </x:c>
      <x:c r="AB73" s="162" t="str">
        <x:f>IF(Z73="","",IF(Z73&gt;='Lists'!$AL$9,'Lists'!$AK$9,IF(Z73&gt;='Lists'!$AL$8,'Lists'!$AK$8,IF(Z73&gt;='Lists'!$AL$7,'Lists'!$AK$7,IF(Z73&gt;='Lists'!$AL$6,'Lists'!$AK$6,'Lists'!$AK$5)))))</x:f>
      </x:c>
      <x:c r="AC73" s="164" t="str">
        <x:f>IF(OR(V73="",X73="",X73=0),"",ROUND(V73/X73,1))</x:f>
      </x:c>
    </x:row>
    <x:row r="74">
      <x:c r="A74" s="12"/>
      <x:c r="B74" s="12"/>
      <x:c r="C74" s="12"/>
      <x:c r="D74" s="12"/>
      <x:c r="E74" s="12"/>
      <x:c r="F74" s="12"/>
      <x:c r="G74" s="12"/>
      <x:c r="H74" s="102"/>
      <x:c r="I74" s="14"/>
      <x:c r="J74" s="14"/>
      <x:c r="K74" s="14"/>
      <x:c r="L74" s="14"/>
      <x:c r="M74" s="14"/>
      <x:c r="N74" s="12"/>
      <x:c r="O74" s="12"/>
      <x:c r="P74" s="102"/>
      <x:c r="Q74" s="12"/>
      <x:c r="R74" s="12"/>
      <x:c r="S74" s="104"/>
      <x:c r="T74" s="12"/>
      <x:c r="U74" s="105"/>
      <x:c r="V74" s="105"/>
      <x:c r="W74" s="105"/>
      <x:c r="X74" s="105"/>
      <x:c r="Y74" s="102"/>
      <x:c r="Z74" s="165" t="str">
        <x:f>IF(A74="","",ROUND(V74/INDEX($V$5:$V$87,MATCH($AA$3,$A$5:$A$87,0))*100,1))</x:f>
      </x:c>
      <x:c r="AA74" s="167" t="str">
        <x:f>IF(V74="","",COUNTIF($V$5:$V$87,"&gt;"&amp;V74)+1)</x:f>
      </x:c>
      <x:c r="AB74" s="163" t="str">
        <x:f>IF(Z74="","",IF(Z74&gt;='Lists'!$AL$9,'Lists'!$AK$9,IF(Z74&gt;='Lists'!$AL$8,'Lists'!$AK$8,IF(Z74&gt;='Lists'!$AL$7,'Lists'!$AK$7,IF(Z74&gt;='Lists'!$AL$6,'Lists'!$AK$6,'Lists'!$AK$5)))))</x:f>
      </x:c>
      <x:c r="AC74" s="165" t="str">
        <x:f>IF(OR(V74="",X74="",X74=0),"",ROUND(V74/X74,1))</x:f>
      </x:c>
    </x:row>
    <x:row r="75">
      <x:c r="A75" s="12"/>
      <x:c r="B75" s="12"/>
      <x:c r="C75" s="12"/>
      <x:c r="D75" s="12"/>
      <x:c r="E75" s="12"/>
      <x:c r="F75" s="12"/>
      <x:c r="G75" s="12"/>
      <x:c r="H75" s="102"/>
      <x:c r="I75" s="14"/>
      <x:c r="J75" s="14"/>
      <x:c r="K75" s="14"/>
      <x:c r="L75" s="14"/>
      <x:c r="M75" s="14"/>
      <x:c r="N75" s="12"/>
      <x:c r="O75" s="12"/>
      <x:c r="P75" s="102"/>
      <x:c r="Q75" s="12"/>
      <x:c r="R75" s="12"/>
      <x:c r="S75" s="104"/>
      <x:c r="T75" s="12"/>
      <x:c r="U75" s="105"/>
      <x:c r="V75" s="105"/>
      <x:c r="W75" s="105"/>
      <x:c r="X75" s="105"/>
      <x:c r="Y75" s="102"/>
      <x:c r="Z75" s="164" t="str">
        <x:f>IF(A75="","",ROUND(V75/INDEX($V$5:$V$87,MATCH($AA$3,$A$5:$A$87,0))*100,1))</x:f>
      </x:c>
      <x:c r="AA75" s="166" t="str">
        <x:f>IF(V75="","",COUNTIF($V$5:$V$87,"&gt;"&amp;V75)+1)</x:f>
      </x:c>
      <x:c r="AB75" s="162" t="str">
        <x:f>IF(Z75="","",IF(Z75&gt;='Lists'!$AL$9,'Lists'!$AK$9,IF(Z75&gt;='Lists'!$AL$8,'Lists'!$AK$8,IF(Z75&gt;='Lists'!$AL$7,'Lists'!$AK$7,IF(Z75&gt;='Lists'!$AL$6,'Lists'!$AK$6,'Lists'!$AK$5)))))</x:f>
      </x:c>
      <x:c r="AC75" s="164" t="str">
        <x:f>IF(OR(V75="",X75="",X75=0),"",ROUND(V75/X75,1))</x:f>
      </x:c>
    </x:row>
    <x:row r="76">
      <x:c r="A76" s="12"/>
      <x:c r="B76" s="12"/>
      <x:c r="C76" s="12"/>
      <x:c r="D76" s="12"/>
      <x:c r="E76" s="12"/>
      <x:c r="F76" s="12"/>
      <x:c r="G76" s="12"/>
      <x:c r="H76" s="102"/>
      <x:c r="I76" s="14"/>
      <x:c r="J76" s="14"/>
      <x:c r="K76" s="14"/>
      <x:c r="L76" s="14"/>
      <x:c r="M76" s="14"/>
      <x:c r="N76" s="12"/>
      <x:c r="O76" s="12"/>
      <x:c r="P76" s="102"/>
      <x:c r="Q76" s="12"/>
      <x:c r="R76" s="12"/>
      <x:c r="S76" s="104"/>
      <x:c r="T76" s="12"/>
      <x:c r="U76" s="105"/>
      <x:c r="V76" s="105"/>
      <x:c r="W76" s="105"/>
      <x:c r="X76" s="105"/>
      <x:c r="Y76" s="102"/>
      <x:c r="Z76" s="165" t="str">
        <x:f>IF(A76="","",ROUND(V76/INDEX($V$5:$V$87,MATCH($AA$3,$A$5:$A$87,0))*100,1))</x:f>
      </x:c>
      <x:c r="AA76" s="167" t="str">
        <x:f>IF(V76="","",COUNTIF($V$5:$V$87,"&gt;"&amp;V76)+1)</x:f>
      </x:c>
      <x:c r="AB76" s="163" t="str">
        <x:f>IF(Z76="","",IF(Z76&gt;='Lists'!$AL$9,'Lists'!$AK$9,IF(Z76&gt;='Lists'!$AL$8,'Lists'!$AK$8,IF(Z76&gt;='Lists'!$AL$7,'Lists'!$AK$7,IF(Z76&gt;='Lists'!$AL$6,'Lists'!$AK$6,'Lists'!$AK$5)))))</x:f>
      </x:c>
      <x:c r="AC76" s="165" t="str">
        <x:f>IF(OR(V76="",X76="",X76=0),"",ROUND(V76/X76,1))</x:f>
      </x:c>
    </x:row>
    <x:row r="77">
      <x:c r="A77" s="12"/>
      <x:c r="B77" s="12"/>
      <x:c r="C77" s="12"/>
      <x:c r="D77" s="12"/>
      <x:c r="E77" s="12"/>
      <x:c r="F77" s="12"/>
      <x:c r="G77" s="12"/>
      <x:c r="H77" s="102"/>
      <x:c r="I77" s="14"/>
      <x:c r="J77" s="14"/>
      <x:c r="K77" s="14"/>
      <x:c r="L77" s="14"/>
      <x:c r="M77" s="14"/>
      <x:c r="N77" s="12"/>
      <x:c r="O77" s="12"/>
      <x:c r="P77" s="102"/>
      <x:c r="Q77" s="12"/>
      <x:c r="R77" s="12"/>
      <x:c r="S77" s="104"/>
      <x:c r="T77" s="12"/>
      <x:c r="U77" s="105"/>
      <x:c r="V77" s="105"/>
      <x:c r="W77" s="105"/>
      <x:c r="X77" s="105"/>
      <x:c r="Y77" s="102"/>
      <x:c r="Z77" s="164" t="str">
        <x:f>IF(A77="","",ROUND(V77/INDEX($V$5:$V$87,MATCH($AA$3,$A$5:$A$87,0))*100,1))</x:f>
      </x:c>
      <x:c r="AA77" s="166" t="str">
        <x:f>IF(V77="","",COUNTIF($V$5:$V$87,"&gt;"&amp;V77)+1)</x:f>
      </x:c>
      <x:c r="AB77" s="162" t="str">
        <x:f>IF(Z77="","",IF(Z77&gt;='Lists'!$AL$9,'Lists'!$AK$9,IF(Z77&gt;='Lists'!$AL$8,'Lists'!$AK$8,IF(Z77&gt;='Lists'!$AL$7,'Lists'!$AK$7,IF(Z77&gt;='Lists'!$AL$6,'Lists'!$AK$6,'Lists'!$AK$5)))))</x:f>
      </x:c>
      <x:c r="AC77" s="164" t="str">
        <x:f>IF(OR(V77="",X77="",X77=0),"",ROUND(V77/X77,1))</x:f>
      </x:c>
    </x:row>
    <x:row r="78">
      <x:c r="A78" s="12"/>
      <x:c r="B78" s="12"/>
      <x:c r="C78" s="12"/>
      <x:c r="D78" s="12"/>
      <x:c r="E78" s="12"/>
      <x:c r="F78" s="12"/>
      <x:c r="G78" s="12"/>
      <x:c r="H78" s="102"/>
      <x:c r="I78" s="14"/>
      <x:c r="J78" s="14"/>
      <x:c r="K78" s="14"/>
      <x:c r="L78" s="14"/>
      <x:c r="M78" s="14"/>
      <x:c r="N78" s="12"/>
      <x:c r="O78" s="12"/>
      <x:c r="P78" s="102"/>
      <x:c r="Q78" s="12"/>
      <x:c r="R78" s="12"/>
      <x:c r="S78" s="104"/>
      <x:c r="T78" s="12"/>
      <x:c r="U78" s="105"/>
      <x:c r="V78" s="105"/>
      <x:c r="W78" s="105"/>
      <x:c r="X78" s="105"/>
      <x:c r="Y78" s="102"/>
      <x:c r="Z78" s="165" t="str">
        <x:f>IF(A78="","",ROUND(V78/INDEX($V$5:$V$87,MATCH($AA$3,$A$5:$A$87,0))*100,1))</x:f>
      </x:c>
      <x:c r="AA78" s="167" t="str">
        <x:f>IF(V78="","",COUNTIF($V$5:$V$87,"&gt;"&amp;V78)+1)</x:f>
      </x:c>
      <x:c r="AB78" s="163" t="str">
        <x:f>IF(Z78="","",IF(Z78&gt;='Lists'!$AL$9,'Lists'!$AK$9,IF(Z78&gt;='Lists'!$AL$8,'Lists'!$AK$8,IF(Z78&gt;='Lists'!$AL$7,'Lists'!$AK$7,IF(Z78&gt;='Lists'!$AL$6,'Lists'!$AK$6,'Lists'!$AK$5)))))</x:f>
      </x:c>
      <x:c r="AC78" s="165" t="str">
        <x:f>IF(OR(V78="",X78="",X78=0),"",ROUND(V78/X78,1))</x:f>
      </x:c>
    </x:row>
    <x:row r="79">
      <x:c r="A79" s="12"/>
      <x:c r="B79" s="12"/>
      <x:c r="C79" s="12"/>
      <x:c r="D79" s="12"/>
      <x:c r="E79" s="12"/>
      <x:c r="F79" s="12"/>
      <x:c r="G79" s="12"/>
      <x:c r="H79" s="102"/>
      <x:c r="I79" s="14"/>
      <x:c r="J79" s="14"/>
      <x:c r="K79" s="14"/>
      <x:c r="L79" s="14"/>
      <x:c r="M79" s="14"/>
      <x:c r="N79" s="12"/>
      <x:c r="O79" s="12"/>
      <x:c r="P79" s="102"/>
      <x:c r="Q79" s="12"/>
      <x:c r="R79" s="12"/>
      <x:c r="S79" s="104"/>
      <x:c r="T79" s="12"/>
      <x:c r="U79" s="105"/>
      <x:c r="V79" s="105"/>
      <x:c r="W79" s="105"/>
      <x:c r="X79" s="105"/>
      <x:c r="Y79" s="102"/>
      <x:c r="Z79" s="164" t="str">
        <x:f>IF(A79="","",ROUND(V79/INDEX($V$5:$V$87,MATCH($AA$3,$A$5:$A$87,0))*100,1))</x:f>
      </x:c>
      <x:c r="AA79" s="166" t="str">
        <x:f>IF(V79="","",COUNTIF($V$5:$V$87,"&gt;"&amp;V79)+1)</x:f>
      </x:c>
      <x:c r="AB79" s="162" t="str">
        <x:f>IF(Z79="","",IF(Z79&gt;='Lists'!$AL$9,'Lists'!$AK$9,IF(Z79&gt;='Lists'!$AL$8,'Lists'!$AK$8,IF(Z79&gt;='Lists'!$AL$7,'Lists'!$AK$7,IF(Z79&gt;='Lists'!$AL$6,'Lists'!$AK$6,'Lists'!$AK$5)))))</x:f>
      </x:c>
      <x:c r="AC79" s="164" t="str">
        <x:f>IF(OR(V79="",X79="",X79=0),"",ROUND(V79/X79,1))</x:f>
      </x:c>
    </x:row>
    <x:row r="80">
      <x:c r="A80" s="12"/>
      <x:c r="B80" s="12"/>
      <x:c r="C80" s="12"/>
      <x:c r="D80" s="12"/>
      <x:c r="E80" s="12"/>
      <x:c r="F80" s="12"/>
      <x:c r="G80" s="12"/>
      <x:c r="H80" s="102"/>
      <x:c r="I80" s="14"/>
      <x:c r="J80" s="14"/>
      <x:c r="K80" s="14"/>
      <x:c r="L80" s="14"/>
      <x:c r="M80" s="14"/>
      <x:c r="N80" s="12"/>
      <x:c r="O80" s="12"/>
      <x:c r="P80" s="102"/>
      <x:c r="Q80" s="12"/>
      <x:c r="R80" s="12"/>
      <x:c r="S80" s="104"/>
      <x:c r="T80" s="12"/>
      <x:c r="U80" s="105"/>
      <x:c r="V80" s="105"/>
      <x:c r="W80" s="105"/>
      <x:c r="X80" s="105"/>
      <x:c r="Y80" s="102"/>
      <x:c r="Z80" s="165" t="str">
        <x:f>IF(A80="","",ROUND(V80/INDEX($V$5:$V$87,MATCH($AA$3,$A$5:$A$87,0))*100,1))</x:f>
      </x:c>
      <x:c r="AA80" s="167" t="str">
        <x:f>IF(V80="","",COUNTIF($V$5:$V$87,"&gt;"&amp;V80)+1)</x:f>
      </x:c>
      <x:c r="AB80" s="163" t="str">
        <x:f>IF(Z80="","",IF(Z80&gt;='Lists'!$AL$9,'Lists'!$AK$9,IF(Z80&gt;='Lists'!$AL$8,'Lists'!$AK$8,IF(Z80&gt;='Lists'!$AL$7,'Lists'!$AK$7,IF(Z80&gt;='Lists'!$AL$6,'Lists'!$AK$6,'Lists'!$AK$5)))))</x:f>
      </x:c>
      <x:c r="AC80" s="165" t="str">
        <x:f>IF(OR(V80="",X80="",X80=0),"",ROUND(V80/X80,1))</x:f>
      </x:c>
    </x:row>
    <x:row r="81">
      <x:c r="A81" s="12"/>
      <x:c r="B81" s="12"/>
      <x:c r="C81" s="12"/>
      <x:c r="D81" s="12"/>
      <x:c r="E81" s="12"/>
      <x:c r="F81" s="12"/>
      <x:c r="G81" s="12"/>
      <x:c r="H81" s="102"/>
      <x:c r="I81" s="14"/>
      <x:c r="J81" s="14"/>
      <x:c r="K81" s="14"/>
      <x:c r="L81" s="14"/>
      <x:c r="M81" s="14"/>
      <x:c r="N81" s="12"/>
      <x:c r="O81" s="12"/>
      <x:c r="P81" s="102"/>
      <x:c r="Q81" s="12"/>
      <x:c r="R81" s="12"/>
      <x:c r="S81" s="104"/>
      <x:c r="T81" s="12"/>
      <x:c r="U81" s="105"/>
      <x:c r="V81" s="105"/>
      <x:c r="W81" s="105"/>
      <x:c r="X81" s="105"/>
      <x:c r="Y81" s="102"/>
      <x:c r="Z81" s="164" t="str">
        <x:f>IF(A81="","",ROUND(V81/INDEX($V$5:$V$87,MATCH($AA$3,$A$5:$A$87,0))*100,1))</x:f>
      </x:c>
      <x:c r="AA81" s="166" t="str">
        <x:f>IF(V81="","",COUNTIF($V$5:$V$87,"&gt;"&amp;V81)+1)</x:f>
      </x:c>
      <x:c r="AB81" s="162" t="str">
        <x:f>IF(Z81="","",IF(Z81&gt;='Lists'!$AL$9,'Lists'!$AK$9,IF(Z81&gt;='Lists'!$AL$8,'Lists'!$AK$8,IF(Z81&gt;='Lists'!$AL$7,'Lists'!$AK$7,IF(Z81&gt;='Lists'!$AL$6,'Lists'!$AK$6,'Lists'!$AK$5)))))</x:f>
      </x:c>
      <x:c r="AC81" s="164" t="str">
        <x:f>IF(OR(V81="",X81="",X81=0),"",ROUND(V81/X81,1))</x:f>
      </x:c>
    </x:row>
    <x:row r="82">
      <x:c r="A82" s="12"/>
      <x:c r="B82" s="12"/>
      <x:c r="C82" s="12"/>
      <x:c r="D82" s="12"/>
      <x:c r="E82" s="12"/>
      <x:c r="F82" s="12"/>
      <x:c r="G82" s="12"/>
      <x:c r="H82" s="102"/>
      <x:c r="I82" s="14"/>
      <x:c r="J82" s="14"/>
      <x:c r="K82" s="14"/>
      <x:c r="L82" s="14"/>
      <x:c r="M82" s="14"/>
      <x:c r="N82" s="12"/>
      <x:c r="O82" s="12"/>
      <x:c r="P82" s="102"/>
      <x:c r="Q82" s="12"/>
      <x:c r="R82" s="12"/>
      <x:c r="S82" s="104"/>
      <x:c r="T82" s="12"/>
      <x:c r="U82" s="105"/>
      <x:c r="V82" s="105"/>
      <x:c r="W82" s="105"/>
      <x:c r="X82" s="105"/>
      <x:c r="Y82" s="102"/>
      <x:c r="Z82" s="165" t="str">
        <x:f>IF(A82="","",ROUND(V82/INDEX($V$5:$V$87,MATCH($AA$3,$A$5:$A$87,0))*100,1))</x:f>
      </x:c>
      <x:c r="AA82" s="167" t="str">
        <x:f>IF(V82="","",COUNTIF($V$5:$V$87,"&gt;"&amp;V82)+1)</x:f>
      </x:c>
      <x:c r="AB82" s="163" t="str">
        <x:f>IF(Z82="","",IF(Z82&gt;='Lists'!$AL$9,'Lists'!$AK$9,IF(Z82&gt;='Lists'!$AL$8,'Lists'!$AK$8,IF(Z82&gt;='Lists'!$AL$7,'Lists'!$AK$7,IF(Z82&gt;='Lists'!$AL$6,'Lists'!$AK$6,'Lists'!$AK$5)))))</x:f>
      </x:c>
      <x:c r="AC82" s="165" t="str">
        <x:f>IF(OR(V82="",X82="",X82=0),"",ROUND(V82/X82,1))</x:f>
      </x:c>
    </x:row>
    <x:row r="83">
      <x:c r="A83" s="12"/>
      <x:c r="B83" s="12"/>
      <x:c r="C83" s="12"/>
      <x:c r="D83" s="12"/>
      <x:c r="E83" s="12"/>
      <x:c r="F83" s="12"/>
      <x:c r="G83" s="12"/>
      <x:c r="H83" s="102"/>
      <x:c r="I83" s="14"/>
      <x:c r="J83" s="14"/>
      <x:c r="K83" s="14"/>
      <x:c r="L83" s="14"/>
      <x:c r="M83" s="14"/>
      <x:c r="N83" s="12"/>
      <x:c r="O83" s="12"/>
      <x:c r="P83" s="102"/>
      <x:c r="Q83" s="12"/>
      <x:c r="R83" s="12"/>
      <x:c r="S83" s="104"/>
      <x:c r="T83" s="12"/>
      <x:c r="U83" s="105"/>
      <x:c r="V83" s="105"/>
      <x:c r="W83" s="105"/>
      <x:c r="X83" s="105"/>
      <x:c r="Y83" s="102"/>
      <x:c r="Z83" s="164" t="str">
        <x:f>IF(A83="","",ROUND(V83/INDEX($V$5:$V$87,MATCH($AA$3,$A$5:$A$87,0))*100,1))</x:f>
      </x:c>
      <x:c r="AA83" s="166" t="str">
        <x:f>IF(V83="","",COUNTIF($V$5:$V$87,"&gt;"&amp;V83)+1)</x:f>
      </x:c>
      <x:c r="AB83" s="162" t="str">
        <x:f>IF(Z83="","",IF(Z83&gt;='Lists'!$AL$9,'Lists'!$AK$9,IF(Z83&gt;='Lists'!$AL$8,'Lists'!$AK$8,IF(Z83&gt;='Lists'!$AL$7,'Lists'!$AK$7,IF(Z83&gt;='Lists'!$AL$6,'Lists'!$AK$6,'Lists'!$AK$5)))))</x:f>
      </x:c>
      <x:c r="AC83" s="164" t="str">
        <x:f>IF(OR(V83="",X83="",X83=0),"",ROUND(V83/X83,1))</x:f>
      </x:c>
    </x:row>
    <x:row r="84">
      <x:c r="A84" s="12"/>
      <x:c r="B84" s="12"/>
      <x:c r="C84" s="12"/>
      <x:c r="D84" s="12"/>
      <x:c r="E84" s="12"/>
      <x:c r="F84" s="12"/>
      <x:c r="G84" s="12"/>
      <x:c r="H84" s="102"/>
      <x:c r="I84" s="14"/>
      <x:c r="J84" s="14"/>
      <x:c r="K84" s="14"/>
      <x:c r="L84" s="14"/>
      <x:c r="M84" s="14"/>
      <x:c r="N84" s="12"/>
      <x:c r="O84" s="12"/>
      <x:c r="P84" s="102"/>
      <x:c r="Q84" s="12"/>
      <x:c r="R84" s="12"/>
      <x:c r="S84" s="104"/>
      <x:c r="T84" s="12"/>
      <x:c r="U84" s="105"/>
      <x:c r="V84" s="105"/>
      <x:c r="W84" s="105"/>
      <x:c r="X84" s="105"/>
      <x:c r="Y84" s="102"/>
      <x:c r="Z84" s="165" t="str">
        <x:f>IF(A84="","",ROUND(V84/INDEX($V$5:$V$87,MATCH($AA$3,$A$5:$A$87,0))*100,1))</x:f>
      </x:c>
      <x:c r="AA84" s="167" t="str">
        <x:f>IF(V84="","",COUNTIF($V$5:$V$87,"&gt;"&amp;V84)+1)</x:f>
      </x:c>
      <x:c r="AB84" s="163" t="str">
        <x:f>IF(Z84="","",IF(Z84&gt;='Lists'!$AL$9,'Lists'!$AK$9,IF(Z84&gt;='Lists'!$AL$8,'Lists'!$AK$8,IF(Z84&gt;='Lists'!$AL$7,'Lists'!$AK$7,IF(Z84&gt;='Lists'!$AL$6,'Lists'!$AK$6,'Lists'!$AK$5)))))</x:f>
      </x:c>
      <x:c r="AC84" s="165" t="str">
        <x:f>IF(OR(V84="",X84="",X84=0),"",ROUND(V84/X84,1))</x:f>
      </x:c>
    </x:row>
    <x:row r="85">
      <x:c r="A85" s="12"/>
      <x:c r="B85" s="12"/>
      <x:c r="C85" s="12"/>
      <x:c r="D85" s="12"/>
      <x:c r="E85" s="12"/>
      <x:c r="F85" s="12"/>
      <x:c r="G85" s="12"/>
      <x:c r="H85" s="102"/>
      <x:c r="I85" s="14"/>
      <x:c r="J85" s="14"/>
      <x:c r="K85" s="14"/>
      <x:c r="L85" s="14"/>
      <x:c r="M85" s="14"/>
      <x:c r="N85" s="12"/>
      <x:c r="O85" s="12"/>
      <x:c r="P85" s="102"/>
      <x:c r="Q85" s="12"/>
      <x:c r="R85" s="12"/>
      <x:c r="S85" s="104"/>
      <x:c r="T85" s="12"/>
      <x:c r="U85" s="105"/>
      <x:c r="V85" s="105"/>
      <x:c r="W85" s="105"/>
      <x:c r="X85" s="105"/>
      <x:c r="Y85" s="102"/>
      <x:c r="Z85" s="164" t="str">
        <x:f>IF(A85="","",ROUND(V85/INDEX($V$5:$V$87,MATCH($AA$3,$A$5:$A$87,0))*100,1))</x:f>
      </x:c>
      <x:c r="AA85" s="166" t="str">
        <x:f>IF(V85="","",COUNTIF($V$5:$V$87,"&gt;"&amp;V85)+1)</x:f>
      </x:c>
      <x:c r="AB85" s="162" t="str">
        <x:f>IF(Z85="","",IF(Z85&gt;='Lists'!$AL$9,'Lists'!$AK$9,IF(Z85&gt;='Lists'!$AL$8,'Lists'!$AK$8,IF(Z85&gt;='Lists'!$AL$7,'Lists'!$AK$7,IF(Z85&gt;='Lists'!$AL$6,'Lists'!$AK$6,'Lists'!$AK$5)))))</x:f>
      </x:c>
      <x:c r="AC85" s="164" t="str">
        <x:f>IF(OR(V85="",X85="",X85=0),"",ROUND(V85/X85,1))</x:f>
      </x:c>
    </x:row>
    <x:row r="86">
      <x:c r="A86" s="12"/>
      <x:c r="B86" s="12"/>
      <x:c r="C86" s="12"/>
      <x:c r="D86" s="12"/>
      <x:c r="E86" s="12"/>
      <x:c r="F86" s="12"/>
      <x:c r="G86" s="12"/>
      <x:c r="H86" s="102"/>
      <x:c r="I86" s="14"/>
      <x:c r="J86" s="14"/>
      <x:c r="K86" s="14"/>
      <x:c r="L86" s="14"/>
      <x:c r="M86" s="14"/>
      <x:c r="N86" s="12"/>
      <x:c r="O86" s="12"/>
      <x:c r="P86" s="102"/>
      <x:c r="Q86" s="12"/>
      <x:c r="R86" s="12"/>
      <x:c r="S86" s="104"/>
      <x:c r="T86" s="12"/>
      <x:c r="U86" s="105"/>
      <x:c r="V86" s="105"/>
      <x:c r="W86" s="105"/>
      <x:c r="X86" s="105"/>
      <x:c r="Y86" s="102"/>
      <x:c r="Z86" s="165" t="str">
        <x:f>IF(A86="","",ROUND(V86/INDEX($V$5:$V$87,MATCH($AA$3,$A$5:$A$87,0))*100,1))</x:f>
      </x:c>
      <x:c r="AA86" s="167" t="str">
        <x:f>IF(V86="","",COUNTIF($V$5:$V$87,"&gt;"&amp;V86)+1)</x:f>
      </x:c>
      <x:c r="AB86" s="163" t="str">
        <x:f>IF(Z86="","",IF(Z86&gt;='Lists'!$AL$9,'Lists'!$AK$9,IF(Z86&gt;='Lists'!$AL$8,'Lists'!$AK$8,IF(Z86&gt;='Lists'!$AL$7,'Lists'!$AK$7,IF(Z86&gt;='Lists'!$AL$6,'Lists'!$AK$6,'Lists'!$AK$5)))))</x:f>
      </x:c>
      <x:c r="AC86" s="165" t="str">
        <x:f>IF(OR(V86="",X86="",X86=0),"",ROUND(V86/X86,1))</x:f>
      </x:c>
    </x:row>
    <x:row r="87">
      <x:c r="A87" s="12"/>
      <x:c r="B87" s="12"/>
      <x:c r="C87" s="12"/>
      <x:c r="D87" s="12"/>
      <x:c r="E87" s="12"/>
      <x:c r="F87" s="12"/>
      <x:c r="G87" s="12"/>
      <x:c r="H87" s="102"/>
      <x:c r="I87" s="14"/>
      <x:c r="J87" s="14"/>
      <x:c r="K87" s="14"/>
      <x:c r="L87" s="14"/>
      <x:c r="M87" s="14"/>
      <x:c r="N87" s="12"/>
      <x:c r="O87" s="12"/>
      <x:c r="P87" s="102"/>
      <x:c r="Q87" s="12"/>
      <x:c r="R87" s="12"/>
      <x:c r="S87" s="104"/>
      <x:c r="T87" s="12"/>
      <x:c r="U87" s="105"/>
      <x:c r="V87" s="105"/>
      <x:c r="W87" s="105"/>
      <x:c r="X87" s="105"/>
      <x:c r="Y87" s="102"/>
      <x:c r="Z87" s="164" t="str">
        <x:f>IF(A87="","",ROUND(V87/INDEX($V$5:$V$87,MATCH($AA$3,$A$5:$A$87,0))*100,1))</x:f>
      </x:c>
      <x:c r="AA87" s="166" t="str">
        <x:f>IF(V87="","",COUNTIF($V$5:$V$87,"&gt;"&amp;V87)+1)</x:f>
      </x:c>
      <x:c r="AB87" s="162" t="str">
        <x:f>IF(Z87="","",IF(Z87&gt;='Lists'!$AL$9,'Lists'!$AK$9,IF(Z87&gt;='Lists'!$AL$8,'Lists'!$AK$8,IF(Z87&gt;='Lists'!$AL$7,'Lists'!$AK$7,IF(Z87&gt;='Lists'!$AL$6,'Lists'!$AK$6,'Lists'!$AK$5)))))</x:f>
      </x:c>
      <x:c r="AC87" s="164" t="str">
        <x:f>IF(OR(V87="",X87="",X87=0),"",ROUND(V87/X87,1))</x:f>
      </x:c>
    </x:row>
  </x:sheetData>
  <x:mergeCells>
    <x:mergeCell ref="A1:Y1"/>
    <x:mergeCell ref="A2:Y2"/>
    <x:mergeCell ref="Z1:AC1"/>
    <x:mergeCell ref="Z2:AC2"/>
    <x:mergeCell ref="AA3:AC3"/>
  </x:mergeCells>
  <x:conditionalFormatting sqref="V5:V87">
    <x:cfRule type="dataBar" priority="1">
      <x:dataBar>
        <x:cfvo type="min"/>
        <x:cfvo type="max"/>
        <x:color rgb="FFA855F7"/>
      </x:dataBar>
      <x:extLst>
        <x:ext xmlns:x14="http://schemas.microsoft.com/office/spreadsheetml/2009/9/main" uri="{B025F937-C7B1-47D3-B67F-A62EFF666E3E}">
          <x14:id>{58B05D94-C265-D22A-9AA4-204FA01C3CBA}</x14:id>
        </x:ext>
      </x:extLst>
    </x:cfRule>
  </x:conditionalFormatting>
  <x:conditionalFormatting sqref="W5:W87">
    <x:cfRule type="dataBar" priority="2">
      <x:dataBar>
        <x:cfvo type="min"/>
        <x:cfvo type="max"/>
        <x:color rgb="FF8B5CF6"/>
      </x:dataBar>
      <x:extLst>
        <x:ext xmlns:x14="http://schemas.microsoft.com/office/spreadsheetml/2009/9/main" uri="{B025F937-C7B1-47D3-B67F-A62EFF666E3E}">
          <x14:id>{93A4E389-95CD-84F5-1798-C041AB50329E}</x14:id>
        </x:ext>
      </x:extLst>
    </x:cfRule>
  </x:conditionalFormatting>
  <x:conditionalFormatting sqref="Z5:Z68">
    <x:cfRule type="colorScale" priority="3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AC5:AC68">
    <x:cfRule type="colorScale" priority="4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dataValidations count="3">
    <x:dataValidation type="list" sqref="F5:F87">
      <x:formula1>"research_required,approved,preferred,rejected,discontinued"</x:formula1>
    </x:dataValidation>
    <x:dataValidation type="list" sqref="G5:G87">
      <x:formula1>"unrated,C,B,A,S"</x:formula1>
    </x:dataValidation>
    <x:dataValidation type="list" sqref="R5:R87">
      <x:formula1>"exact,month,quarter,unknown"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e350eb4aefa4452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58B05D94-C265-D22A-9AA4-204FA01C3CBA}">
            <x14:dataBar gradient="1">
              <x14:cfvo type="min"/>
              <x14:cfvo type="max"/>
              <x14:fillColor rgb="FFA855F7"/>
            </x14:dataBar>
          </x14:cfRule>
          <xm:sqref>V5:V87</xm:sqref>
        </x14:conditionalFormatting>
        <x14:conditionalFormatting>
          <x14:cfRule type="dataBar" priority="2" id="{93A4E389-95CD-84F5-1798-C041AB50329E}">
            <x14:dataBar gradient="1">
              <x14:cfvo type="min"/>
              <x14:cfvo type="max"/>
              <x14:fillColor rgb="FF8B5CF6"/>
            </x14:dataBar>
          </x14:cfRule>
          <xm:sqref>W5:W87</xm:sqref>
        </x14:conditionalFormatting>
      </x14:conditionalFormattings>
    </x:ext>
  </x:extLst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8" hidden="0" customWidth="1"/>
  </x:cols>
  <x:sheetData>
    <x:row r="1" ht="30" customHeight="1">
      <x:c r="A1" s="18" t="str">
        <x:v>Memory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</x:row>
    <x:row r="2" ht="34" customHeight="1">
      <x:c r="A2" s="7" t="str">
        <x:v>メモリ容量、XMP/EXPO公称速度、標準SPD/JEDEC速度、レイテンシ、寸法と保証を管理。新製品は最初の空行へ入力してください。列追加時はFieldDefinitionsにも1行追加します。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memory_type</x:v>
      </x:c>
      <x:c r="S4" s="21" t="str">
        <x:v>total_capacity_gb</x:v>
      </x:c>
      <x:c r="T4" s="21" t="str">
        <x:v>module_count</x:v>
      </x:c>
      <x:c r="U4" s="21" t="str">
        <x:v>data_rate_mt_s</x:v>
      </x:c>
      <x:c r="V4" s="21" t="str">
        <x:v>expo</x:v>
      </x:c>
      <x:c r="W4" s="21" t="str">
        <x:v>cas_latency</x:v>
      </x:c>
      <x:c r="X4" s="21" t="str">
        <x:v>module_height_mm</x:v>
      </x:c>
      <x:c r="Y4" s="21" t="str">
        <x:v>warranty_class</x:v>
      </x:c>
      <x:c r="Z4" s="21" t="str">
        <x:v>voltage_v</x:v>
      </x:c>
      <x:c r="AA4" s="21" t="str">
        <x:v>chip_type</x:v>
      </x:c>
      <x:c r="AB4" s="135" t="str">
        <x:v>default_data_rate_mt_s</x:v>
      </x:c>
    </x:row>
    <x:row r="5" ht="52" customHeight="1">
      <x:c r="A5" s="22" t="str">
        <x:v>memory-corsair-cmk32gx5m2b6000z30</x:v>
      </x:c>
      <x:c r="B5" s="14" t="str">
        <x:v>Corsair</x:v>
      </x:c>
      <x:c r="C5" s="14" t="str">
        <x:v>CMK32GX5M2B6000Z30</x:v>
      </x:c>
      <x:c r="D5" s="14" t="str">
        <x:v>Corsair VENGEANCE DDR5-6000 32GB (16GB×2) CL30 AMD EXPO</x:v>
      </x:c>
      <x:c r="E5" s="22"/>
      <x:c r="F5" s="22"/>
      <x:c r="G5" s="22" t="str">
        <x:v>CMK32GX5M2B6000Z30</x:v>
      </x:c>
      <x:c r="H5" s="22"/>
      <x:c r="I5" s="14" t="str">
        <x:v>VENGEANCE DDR5 32GB 6000 CL30 EXPO</x:v>
      </x:c>
      <x:c r="J5" s="14" t="str">
        <x:v>research_required</x:v>
      </x:c>
      <x:c r="K5" s="14" t="str">
        <x:v>unrated</x:v>
      </x:c>
      <x:c r="L5" s="23" t="n">
        <x:v>46218</x:v>
      </x:c>
      <x:c r="M5" s="14" t="str">
        <x:v>公式仕様を確認したDDR5デュアルチャネルキット。国内流通SKU、独立レビュー、QVL確認前の調査中レコードです。</x:v>
      </x:c>
      <x:c r="N5" s="14" t="str">
        <x:v>DDR5-6000 CL30
AMD EXPO・Intel XMP対応
限定永久保証</x:v>
      </x:c>
      <x:c r="O5" s="14" t="str">
        <x:v>定格動作にはプロファイル有効化と対応プラットフォームが必要
公式商品ページでモジュール高さを数値確認できず</x:v>
      </x:c>
      <x:c r="P5" s="14" t="str">
        <x:v>XMP/EXPO定格はCPU IMC・マザーボード・BIOS依存。DRAM IC・ランク・基板リビジョンは購入時期で変わる可能性があります。</x:v>
      </x:c>
      <x:c r="Q5" s="14" t="str">
        <x:v>ASIN・JAN・国内保証窓口は未確定。購入前に完全型番、マザーボードQVL、CPUの対応速度、クーラーとの干渉、販売店の保証条件を確認してください。</x:v>
      </x:c>
      <x:c r="R5" s="14" t="str">
        <x:v>DDR5</x:v>
      </x:c>
      <x:c r="S5" s="25" t="n">
        <x:v>32</x:v>
      </x:c>
      <x:c r="T5" s="24" t="n">
        <x:v>2</x:v>
      </x:c>
      <x:c r="U5" s="24" t="n">
        <x:v>6000</x:v>
      </x:c>
      <x:c r="V5" s="15" t="b">
        <x:v>1</x:v>
      </x:c>
      <x:c r="W5" s="25" t="n">
        <x:v>30</x:v>
      </x:c>
      <x:c r="X5" s="25"/>
      <x:c r="Y5" s="14" t="str">
        <x:v>limited_lifetime</x:v>
      </x:c>
      <x:c r="Z5" s="25" t="n">
        <x:v>1.4</x:v>
      </x:c>
      <x:c r="AA5" s="14"/>
      <x:c r="AB5" s="136" t="n">
        <x:v>4800</x:v>
      </x:c>
    </x:row>
    <x:row r="6" ht="52" customHeight="1">
      <x:c r="A6" s="22" t="str">
        <x:v>memory-corsair-cmk64gx5m2b6000z30</x:v>
      </x:c>
      <x:c r="B6" s="14" t="str">
        <x:v>Corsair</x:v>
      </x:c>
      <x:c r="C6" s="14" t="str">
        <x:v>CMK64GX5M2B6000Z30</x:v>
      </x:c>
      <x:c r="D6" s="14" t="str">
        <x:v>Corsair VENGEANCE DDR5-6000 64GB (32GB×2) CL30 AMD EXPO</x:v>
      </x:c>
      <x:c r="E6" s="22"/>
      <x:c r="F6" s="22"/>
      <x:c r="G6" s="22" t="str">
        <x:v>CMK64GX5M2B6000Z30</x:v>
      </x:c>
      <x:c r="H6" s="22"/>
      <x:c r="I6" s="14" t="str">
        <x:v>VENGEANCE DDR5 64GB 6000 CL30 EXPO</x:v>
      </x:c>
      <x:c r="J6" s="14" t="str">
        <x:v>research_required</x:v>
      </x:c>
      <x:c r="K6" s="14" t="str">
        <x:v>unrated</x:v>
      </x:c>
      <x:c r="L6" s="23" t="n">
        <x:v>46218</x:v>
      </x:c>
      <x:c r="M6" s="14" t="str">
        <x:v>公式仕様を確認したDDR5デュアルチャネルキット。国内流通SKU、独立レビュー、QVL確認前の調査中レコードです。</x:v>
      </x:c>
      <x:c r="N6" s="14" t="str">
        <x:v>64GBを2枚で構成
DDR5-6000 CL30
AMD EXPO・Intel XMP対応
限定永久保証</x:v>
      </x:c>
      <x:c r="O6" s="14" t="str">
        <x:v>32GBモジュール2枚の定格動作はCPU IMCとBIOSの影響を受ける
公式商品ページでモジュール高さを数値確認できず</x:v>
      </x:c>
      <x:c r="P6" s="14" t="str">
        <x:v>XMP/EXPO定格はCPU IMC・マザーボード・BIOS依存。DRAM IC・ランク・基板リビジョンは購入時期で変わる可能性があります。</x:v>
      </x:c>
      <x:c r="Q6" s="14" t="str">
        <x:v>ASIN・JAN・国内保証窓口は未確定。購入前に完全型番、マザーボードQVL、CPUの対応速度、クーラーとの干渉、販売店の保証条件を確認してください。</x:v>
      </x:c>
      <x:c r="R6" s="14" t="str">
        <x:v>DDR5</x:v>
      </x:c>
      <x:c r="S6" s="25" t="n">
        <x:v>64</x:v>
      </x:c>
      <x:c r="T6" s="24" t="n">
        <x:v>2</x:v>
      </x:c>
      <x:c r="U6" s="24" t="n">
        <x:v>6000</x:v>
      </x:c>
      <x:c r="V6" s="15" t="b">
        <x:v>1</x:v>
      </x:c>
      <x:c r="W6" s="25" t="n">
        <x:v>30</x:v>
      </x:c>
      <x:c r="X6" s="25"/>
      <x:c r="Y6" s="14" t="str">
        <x:v>limited_lifetime</x:v>
      </x:c>
      <x:c r="Z6" s="25" t="n">
        <x:v>1.4</x:v>
      </x:c>
      <x:c r="AA6" s="14"/>
      <x:c r="AB6" s="136" t="n">
        <x:v>4800</x:v>
      </x:c>
    </x:row>
    <x:row r="7" ht="52" customHeight="1">
      <x:c r="A7" s="22" t="str">
        <x:v>memory-corsair-cmk32gx4m2e3200c16</x:v>
      </x:c>
      <x:c r="B7" s="14" t="str">
        <x:v>Corsair</x:v>
      </x:c>
      <x:c r="C7" s="14" t="str">
        <x:v>CMK32GX4M2E3200C16</x:v>
      </x:c>
      <x:c r="D7" s="14" t="str">
        <x:v>Corsair VENGEANCE LPX DDR4-3200 32GB (16GB×2) CL16</x:v>
      </x:c>
      <x:c r="E7" s="22"/>
      <x:c r="F7" s="22"/>
      <x:c r="G7" s="22" t="str">
        <x:v>CMK32GX4M2E3200C16</x:v>
      </x:c>
      <x:c r="H7" s="22"/>
      <x:c r="I7" s="14" t="str">
        <x:v>VENGEANCE LPX 32GB 3200 C16</x:v>
      </x:c>
      <x:c r="J7" s="14" t="str">
        <x:v>research_required</x:v>
      </x:c>
      <x:c r="K7" s="14" t="str">
        <x:v>unrated</x:v>
      </x:c>
      <x:c r="L7" s="23" t="n">
        <x:v>46218</x:v>
      </x:c>
      <x:c r="M7" s="14" t="str">
        <x:v>公式仕様を確認したDDR4デュアルチャネルキット。国内流通SKU、独立レビュー、QVL確認前の調査中レコードです。</x:v>
      </x:c>
      <x:c r="N7" s="14" t="str">
        <x:v>DDR4-3200 CL16
Intel XMP 2.0対応
限定永久保証</x:v>
      </x:c>
      <x:c r="O7" s="14" t="str">
        <x:v>AMD EXPO非対応
公式商品ページでモジュール高さを数値確認できず</x:v>
      </x:c>
      <x:c r="P7" s="14" t="str">
        <x:v>XMP/EXPO定格はCPU IMC・マザーボード・BIOS依存。DRAM IC・ランク・基板リビジョンは購入時期で変わる可能性があります。</x:v>
      </x:c>
      <x:c r="Q7" s="14" t="str">
        <x:v>ASIN・JAN・国内保証窓口は未確定。購入前に完全型番、マザーボードQVL、CPUの対応速度、クーラーとの干渉、販売店の保証条件を確認してください。</x:v>
      </x:c>
      <x:c r="R7" s="14" t="str">
        <x:v>DDR4</x:v>
      </x:c>
      <x:c r="S7" s="25" t="n">
        <x:v>32</x:v>
      </x:c>
      <x:c r="T7" s="24" t="n">
        <x:v>2</x:v>
      </x:c>
      <x:c r="U7" s="24" t="n">
        <x:v>3200</x:v>
      </x:c>
      <x:c r="V7" s="15" t="b">
        <x:v>0</x:v>
      </x:c>
      <x:c r="W7" s="25" t="n">
        <x:v>16</x:v>
      </x:c>
      <x:c r="X7" s="25"/>
      <x:c r="Y7" s="14" t="str">
        <x:v>limited_lifetime</x:v>
      </x:c>
      <x:c r="Z7" s="25" t="n">
        <x:v>1.35</x:v>
      </x:c>
      <x:c r="AA7" s="14"/>
      <x:c r="AB7" s="136" t="n">
        <x:v>2133</x:v>
      </x:c>
    </x:row>
    <x:row r="8" ht="52" customHeight="1">
      <x:c r="A8" s="22" t="str">
        <x:v>memory-corsair-cmk64gx4m2e3200c16</x:v>
      </x:c>
      <x:c r="B8" s="14" t="str">
        <x:v>Corsair</x:v>
      </x:c>
      <x:c r="C8" s="14" t="str">
        <x:v>CMK64GX4M2E3200C16</x:v>
      </x:c>
      <x:c r="D8" s="14" t="str">
        <x:v>Corsair VENGEANCE LPX DDR4-3200 64GB (32GB×2) CL16</x:v>
      </x:c>
      <x:c r="E8" s="22"/>
      <x:c r="F8" s="22"/>
      <x:c r="G8" s="22" t="str">
        <x:v>CMK64GX4M2E3200C16</x:v>
      </x:c>
      <x:c r="H8" s="22"/>
      <x:c r="I8" s="14" t="str">
        <x:v>VENGEANCE LPX 64GB 3200 C16</x:v>
      </x:c>
      <x:c r="J8" s="14" t="str">
        <x:v>research_required</x:v>
      </x:c>
      <x:c r="K8" s="14" t="str">
        <x:v>unrated</x:v>
      </x:c>
      <x:c r="L8" s="23" t="n">
        <x:v>46218</x:v>
      </x:c>
      <x:c r="M8" s="14" t="str">
        <x:v>公式仕様を確認したDDR4デュアルチャネルキット。国内流通SKU、独立レビュー、QVL確認前の調査中レコードです。</x:v>
      </x:c>
      <x:c r="N8" s="14" t="str">
        <x:v>64GBを2枚で構成
DDR4-3200 CL16
Intel XMP 2.0対応
限定永久保証</x:v>
      </x:c>
      <x:c r="O8" s="14" t="str">
        <x:v>AMD EXPO非対応
32GBモジュール2枚の定格動作はCPU IMCとBIOSの影響を受ける</x:v>
      </x:c>
      <x:c r="P8" s="14" t="str">
        <x:v>XMP/EXPO定格はCPU IMC・マザーボード・BIOS依存。DRAM IC・ランク・基板リビジョンは購入時期で変わる可能性があります。</x:v>
      </x:c>
      <x:c r="Q8" s="14" t="str">
        <x:v>ASIN・JAN・国内保証窓口は未確定。購入前に完全型番、マザーボードQVL、CPUの対応速度、クーラーとの干渉、販売店の保証条件を確認してください。</x:v>
      </x:c>
      <x:c r="R8" s="14" t="str">
        <x:v>DDR4</x:v>
      </x:c>
      <x:c r="S8" s="25" t="n">
        <x:v>64</x:v>
      </x:c>
      <x:c r="T8" s="24" t="n">
        <x:v>2</x:v>
      </x:c>
      <x:c r="U8" s="24" t="n">
        <x:v>3200</x:v>
      </x:c>
      <x:c r="V8" s="15" t="b">
        <x:v>0</x:v>
      </x:c>
      <x:c r="W8" s="25" t="n">
        <x:v>16</x:v>
      </x:c>
      <x:c r="X8" s="25"/>
      <x:c r="Y8" s="14" t="str">
        <x:v>limited_lifetime</x:v>
      </x:c>
      <x:c r="Z8" s="25" t="n">
        <x:v>1.35</x:v>
      </x:c>
      <x:c r="AA8" s="14"/>
      <x:c r="AB8" s="136" t="n">
        <x:v>2133</x:v>
      </x:c>
    </x:row>
    <x:row r="9" ht="52" customHeight="1">
      <x:c r="A9" s="22" t="str">
        <x:v>memory-gskill-f5-6000j3038f16gx2-fx5</x:v>
      </x:c>
      <x:c r="B9" s="14" t="str">
        <x:v>G.SKILL</x:v>
      </x:c>
      <x:c r="C9" s="14" t="str">
        <x:v>F5-6000J3038F16GX2-FX5</x:v>
      </x:c>
      <x:c r="D9" s="14" t="str">
        <x:v>G.SKILL Flare X5 DDR5-6000 32GB (16GB×2) CL30</x:v>
      </x:c>
      <x:c r="E9" s="22"/>
      <x:c r="F9" s="22"/>
      <x:c r="G9" s="22" t="str">
        <x:v>F5-6000J3038F16GX2-FX5</x:v>
      </x:c>
      <x:c r="H9" s="22"/>
      <x:c r="I9" s="14" t="str">
        <x:v>Flare X5 32GB DDR5-6000 CL30</x:v>
      </x:c>
      <x:c r="J9" s="14" t="str">
        <x:v>research_required</x:v>
      </x:c>
      <x:c r="K9" s="14" t="str">
        <x:v>unrated</x:v>
      </x:c>
      <x:c r="L9" s="23" t="n">
        <x:v>46218</x:v>
      </x:c>
      <x:c r="M9" s="14" t="str">
        <x:v>公式仕様を確認したDDR5デュアルチャネルキット。国内流通SKU、独立レビュー、QVL確認前の調査中レコードです。</x:v>
      </x:c>
      <x:c r="N9" s="14" t="str">
        <x:v>DDR5-6000 CL30-38-38-96
AMD EXPO対応
公式EXPO自己認証レポートあり
限定永久保証</x:v>
      </x:c>
      <x:c r="O9" s="14" t="str">
        <x:v>定格動作はマザーボード・CPUの互換性に依存
メモリキットの混在不可</x:v>
      </x:c>
      <x:c r="P9" s="14" t="str">
        <x:v>XMP/EXPO定格はCPU IMC・マザーボード・BIOS依存。DRAM IC・ランク・基板リビジョンは購入時期で変わる可能性があります。</x:v>
      </x:c>
      <x:c r="Q9" s="14" t="str">
        <x:v>ASIN・JAN・国内保証窓口は未確定。購入前に完全型番、マザーボードQVL、CPUの対応速度、クーラーとの干渉、販売店の保証条件を確認してください。
SK hynix表記は公式EXPOレポートのModule Revision 1.0に対する情報で、将来の部品変更を保証しません。</x:v>
      </x:c>
      <x:c r="R9" s="14" t="str">
        <x:v>DDR5</x:v>
      </x:c>
      <x:c r="S9" s="25" t="n">
        <x:v>32</x:v>
      </x:c>
      <x:c r="T9" s="24" t="n">
        <x:v>2</x:v>
      </x:c>
      <x:c r="U9" s="24" t="n">
        <x:v>6000</x:v>
      </x:c>
      <x:c r="V9" s="15" t="b">
        <x:v>1</x:v>
      </x:c>
      <x:c r="W9" s="25" t="n">
        <x:v>30</x:v>
      </x:c>
      <x:c r="X9" s="25"/>
      <x:c r="Y9" s="14" t="str">
        <x:v>limited_lifetime</x:v>
      </x:c>
      <x:c r="Z9" s="25" t="n">
        <x:v>1.35</x:v>
      </x:c>
      <x:c r="AA9" s="14" t="str">
        <x:v>SK hynix (EXPO report rev.1.0)</x:v>
      </x:c>
      <x:c r="AB9" s="136" t="n">
        <x:v>4800</x:v>
      </x:c>
    </x:row>
    <x:row r="10" ht="52" customHeight="1">
      <x:c r="A10" s="22" t="str">
        <x:v>memory-gskill-f5-6000j3040g32gx2-fx5</x:v>
      </x:c>
      <x:c r="B10" s="14" t="str">
        <x:v>G.SKILL</x:v>
      </x:c>
      <x:c r="C10" s="14" t="str">
        <x:v>F5-6000J3040G32GX2-FX5</x:v>
      </x:c>
      <x:c r="D10" s="14" t="str">
        <x:v>G.SKILL Flare X5 DDR5-6000 64GB (32GB×2) CL30</x:v>
      </x:c>
      <x:c r="E10" s="22"/>
      <x:c r="F10" s="22"/>
      <x:c r="G10" s="22" t="str">
        <x:v>F5-6000J3040G32GX2-FX5</x:v>
      </x:c>
      <x:c r="H10" s="22"/>
      <x:c r="I10" s="14" t="str">
        <x:v>Flare X5 64GB DDR5-6000 CL30</x:v>
      </x:c>
      <x:c r="J10" s="14" t="str">
        <x:v>research_required</x:v>
      </x:c>
      <x:c r="K10" s="14" t="str">
        <x:v>unrated</x:v>
      </x:c>
      <x:c r="L10" s="23" t="n">
        <x:v>46218</x:v>
      </x:c>
      <x:c r="M10" s="14" t="str">
        <x:v>公式仕様を確認したDDR5デュアルチャネルキット。国内流通SKU、独立レビュー、QVL確認前の調査中レコードです。</x:v>
      </x:c>
      <x:c r="N10" s="14" t="str">
        <x:v>64GBを2枚で構成
DDR5-6000 CL30-40-40-96
AMD EXPO・Intel XMP 3.0対応
限定永久保証</x:v>
      </x:c>
      <x:c r="O10" s="14" t="str">
        <x:v>32GBモジュール2枚の定格動作はCPU IMCとBIOSの影響を受ける
メモリキットの混在不可</x:v>
      </x:c>
      <x:c r="P10" s="14" t="str">
        <x:v>XMP/EXPO定格はCPU IMC・マザーボード・BIOS依存。DRAM IC・ランク・基板リビジョンは購入時期で変わる可能性があります。</x:v>
      </x:c>
      <x:c r="Q10" s="14" t="str">
        <x:v>ASIN・JAN・国内保証窓口は未確定。購入前に完全型番、マザーボードQVL、CPUの対応速度、クーラーとの干渉、販売店の保証条件を確認してください。</x:v>
      </x:c>
      <x:c r="R10" s="14" t="str">
        <x:v>DDR5</x:v>
      </x:c>
      <x:c r="S10" s="25" t="n">
        <x:v>64</x:v>
      </x:c>
      <x:c r="T10" s="24" t="n">
        <x:v>2</x:v>
      </x:c>
      <x:c r="U10" s="24" t="n">
        <x:v>6000</x:v>
      </x:c>
      <x:c r="V10" s="15" t="b">
        <x:v>1</x:v>
      </x:c>
      <x:c r="W10" s="25" t="n">
        <x:v>30</x:v>
      </x:c>
      <x:c r="X10" s="25"/>
      <x:c r="Y10" s="14" t="str">
        <x:v>limited_lifetime</x:v>
      </x:c>
      <x:c r="Z10" s="25" t="n">
        <x:v>1.4</x:v>
      </x:c>
      <x:c r="AA10" s="14"/>
      <x:c r="AB10" s="136" t="n">
        <x:v>4800</x:v>
      </x:c>
    </x:row>
    <x:row r="11" ht="52" customHeight="1">
      <x:c r="A11" s="22" t="str">
        <x:v>memory-gskill-f4-3600c16d-32gvkc</x:v>
      </x:c>
      <x:c r="B11" s="14" t="str">
        <x:v>G.SKILL</x:v>
      </x:c>
      <x:c r="C11" s="14" t="str">
        <x:v>F4-3600C16D-32GVKC</x:v>
      </x:c>
      <x:c r="D11" s="14" t="str">
        <x:v>G.SKILL Ripjaws V DDR4-3600 32GB (16GB×2) CL16</x:v>
      </x:c>
      <x:c r="E11" s="22"/>
      <x:c r="F11" s="22"/>
      <x:c r="G11" s="22" t="str">
        <x:v>F4-3600C16D-32GVKC</x:v>
      </x:c>
      <x:c r="H11" s="22"/>
      <x:c r="I11" s="14" t="str">
        <x:v>Ripjaws V 32GB DDR4-3600 CL16</x:v>
      </x:c>
      <x:c r="J11" s="14" t="str">
        <x:v>research_required</x:v>
      </x:c>
      <x:c r="K11" s="14" t="str">
        <x:v>unrated</x:v>
      </x:c>
      <x:c r="L11" s="23" t="n">
        <x:v>46218</x:v>
      </x:c>
      <x:c r="M11" s="14" t="str">
        <x:v>公式仕様を確認したDDR4デュアルチャネルキット。国内流通SKU、独立レビュー、QVL確認前の調査中レコードです。</x:v>
      </x:c>
      <x:c r="N11" s="14" t="str">
        <x:v>DDR4-3600 CL16-19-19-39
Intel XMP 2.0対応
公式QVLあり
限定永久保証</x:v>
      </x:c>
      <x:c r="O11" s="14" t="str">
        <x:v>AMD EXPO非対応
定格動作はQVL・CPU IMC・BIOSに依存
メモリキットの混在不可</x:v>
      </x:c>
      <x:c r="P11" s="14" t="str">
        <x:v>XMP/EXPO定格はCPU IMC・マザーボード・BIOS依存。DRAM IC・ランク・基板リビジョンは購入時期で変わる可能性があります。</x:v>
      </x:c>
      <x:c r="Q11" s="14" t="str">
        <x:v>ASIN・JAN・国内保証窓口は未確定。購入前に完全型番、マザーボードQVL、CPUの対応速度、クーラーとの干渉、販売店の保証条件を確認してください。</x:v>
      </x:c>
      <x:c r="R11" s="14" t="str">
        <x:v>DDR4</x:v>
      </x:c>
      <x:c r="S11" s="25" t="n">
        <x:v>32</x:v>
      </x:c>
      <x:c r="T11" s="24" t="n">
        <x:v>2</x:v>
      </x:c>
      <x:c r="U11" s="24" t="n">
        <x:v>3600</x:v>
      </x:c>
      <x:c r="V11" s="15" t="b">
        <x:v>0</x:v>
      </x:c>
      <x:c r="W11" s="25" t="n">
        <x:v>16</x:v>
      </x:c>
      <x:c r="X11" s="25"/>
      <x:c r="Y11" s="14" t="str">
        <x:v>limited_lifetime</x:v>
      </x:c>
      <x:c r="Z11" s="25" t="n">
        <x:v>1.35</x:v>
      </x:c>
      <x:c r="AA11" s="14"/>
      <x:c r="AB11" s="136" t="n">
        <x:v>2133</x:v>
      </x:c>
    </x:row>
    <x:row r="12" ht="52" customHeight="1">
      <x:c r="A12" s="22" t="str">
        <x:v>memory-gskill-f4-3600c18d-64gvk</x:v>
      </x:c>
      <x:c r="B12" s="14" t="str">
        <x:v>G.SKILL</x:v>
      </x:c>
      <x:c r="C12" s="14" t="str">
        <x:v>F4-3600C18D-64GVK</x:v>
      </x:c>
      <x:c r="D12" s="14" t="str">
        <x:v>G.SKILL Ripjaws V DDR4-3600 64GB (32GB×2) CL18</x:v>
      </x:c>
      <x:c r="E12" s="22"/>
      <x:c r="F12" s="22"/>
      <x:c r="G12" s="22" t="str">
        <x:v>F4-3600C18D-64GVK</x:v>
      </x:c>
      <x:c r="H12" s="22"/>
      <x:c r="I12" s="14" t="str">
        <x:v>Ripjaws V 64GB DDR4-3600 CL18</x:v>
      </x:c>
      <x:c r="J12" s="14" t="str">
        <x:v>research_required</x:v>
      </x:c>
      <x:c r="K12" s="14" t="str">
        <x:v>unrated</x:v>
      </x:c>
      <x:c r="L12" s="23" t="n">
        <x:v>46218</x:v>
      </x:c>
      <x:c r="M12" s="14" t="str">
        <x:v>公式仕様を確認したDDR4デュアルチャネルキット。国内流通SKU、独立レビュー、QVL確認前の調査中レコードです。</x:v>
      </x:c>
      <x:c r="N12" s="14" t="str">
        <x:v>64GBを2枚で構成
DDR4-3600 CL18-22-22-42
Intel XMP 2.0対応
限定永久保証</x:v>
      </x:c>
      <x:c r="O12" s="14" t="str">
        <x:v>AMD EXPO非対応
32GBモジュール2枚の定格動作はCPU IMCとBIOSの影響を受ける
メモリキットの混在不可</x:v>
      </x:c>
      <x:c r="P12" s="14" t="str">
        <x:v>XMP/EXPO定格はCPU IMC・マザーボード・BIOS依存。DRAM IC・ランク・基板リビジョンは購入時期で変わる可能性があります。</x:v>
      </x:c>
      <x:c r="Q12" s="14" t="str">
        <x:v>ASIN・JAN・国内保証窓口は未確定。購入前に完全型番、マザーボードQVL、CPUの対応速度、クーラーとの干渉、販売店の保証条件を確認してください。</x:v>
      </x:c>
      <x:c r="R12" s="14" t="str">
        <x:v>DDR4</x:v>
      </x:c>
      <x:c r="S12" s="25" t="n">
        <x:v>64</x:v>
      </x:c>
      <x:c r="T12" s="24" t="n">
        <x:v>2</x:v>
      </x:c>
      <x:c r="U12" s="24" t="n">
        <x:v>3600</x:v>
      </x:c>
      <x:c r="V12" s="15" t="b">
        <x:v>0</x:v>
      </x:c>
      <x:c r="W12" s="25" t="n">
        <x:v>18</x:v>
      </x:c>
      <x:c r="X12" s="25"/>
      <x:c r="Y12" s="14" t="str">
        <x:v>limited_lifetime</x:v>
      </x:c>
      <x:c r="Z12" s="25" t="n">
        <x:v>1.35</x:v>
      </x:c>
      <x:c r="AA12" s="14"/>
      <x:c r="AB12" s="136" t="n">
        <x:v>2666</x:v>
      </x:c>
    </x:row>
    <x:row r="13" ht="52" customHeight="1">
      <x:c r="A13" s="22" t="str">
        <x:v>memory-kingston-kf560c30bbek2-32</x:v>
      </x:c>
      <x:c r="B13" s="14" t="str">
        <x:v>Kingston</x:v>
      </x:c>
      <x:c r="C13" s="14" t="str">
        <x:v>KF560C30BBEK2-32</x:v>
      </x:c>
      <x:c r="D13" s="14" t="str">
        <x:v>Kingston FURY Beast DDR5-6000 32GB (16GB×2) CL30 EXPO</x:v>
      </x:c>
      <x:c r="E13" s="22"/>
      <x:c r="F13" s="22"/>
      <x:c r="G13" s="22" t="str">
        <x:v>KF560C30BBEK2-32</x:v>
      </x:c>
      <x:c r="H13" s="22"/>
      <x:c r="I13" s="14" t="str">
        <x:v>FURY Beast 32GB DDR5-6000 CL30 EXPO</x:v>
      </x:c>
      <x:c r="J13" s="14" t="str">
        <x:v>research_required</x:v>
      </x:c>
      <x:c r="K13" s="14" t="str">
        <x:v>unrated</x:v>
      </x:c>
      <x:c r="L13" s="23" t="n">
        <x:v>46218</x:v>
      </x:c>
      <x:c r="M13" s="14" t="str">
        <x:v>公式仕様を確認したDDR5デュアルチャネルキット。国内流通SKU、独立レビュー、QVL確認前の調査中レコードです。</x:v>
      </x:c>
      <x:c r="N13" s="14" t="str">
        <x:v>DDR5-6000 CL30-36-36
AMD EXPO 1.1・Intel XMP 3.0対応
高さ34.9mm
製品寿命保証</x:v>
      </x:c>
      <x:c r="O13" s="14" t="str">
        <x:v>定格動作にはプロファイル有効化と対応プラットフォームが必要</x:v>
      </x:c>
      <x:c r="P13" s="14" t="str">
        <x:v>XMP/EXPO定格はCPU IMC・マザーボード・BIOS依存。DRAM IC・ランク・基板リビジョンは購入時期で変わる可能性があります。</x:v>
      </x:c>
      <x:c r="Q13" s="14" t="str">
        <x:v>ASIN・JAN・国内保証窓口は未確定。購入前に完全型番、マザーボードQVL、CPUの対応速度、クーラーとの干渉、販売店の保証条件を確認してください。
公式データシートの当該リビジョンでは1Rx8。</x:v>
      </x:c>
      <x:c r="R13" s="14" t="str">
        <x:v>DDR5</x:v>
      </x:c>
      <x:c r="S13" s="25" t="n">
        <x:v>32</x:v>
      </x:c>
      <x:c r="T13" s="24" t="n">
        <x:v>2</x:v>
      </x:c>
      <x:c r="U13" s="24" t="n">
        <x:v>6000</x:v>
      </x:c>
      <x:c r="V13" s="15" t="b">
        <x:v>1</x:v>
      </x:c>
      <x:c r="W13" s="25" t="n">
        <x:v>30</x:v>
      </x:c>
      <x:c r="X13" s="25" t="n">
        <x:v>34.9</x:v>
      </x:c>
      <x:c r="Y13" s="14" t="str">
        <x:v>limited_lifetime</x:v>
      </x:c>
      <x:c r="Z13" s="25" t="n">
        <x:v>1.4</x:v>
      </x:c>
      <x:c r="AA13" s="14"/>
      <x:c r="AB13" s="136" t="n">
        <x:v>4800</x:v>
      </x:c>
    </x:row>
    <x:row r="14" ht="52" customHeight="1">
      <x:c r="A14" s="22" t="str">
        <x:v>memory-kingston-kf560c30bbek2-64</x:v>
      </x:c>
      <x:c r="B14" s="14" t="str">
        <x:v>Kingston</x:v>
      </x:c>
      <x:c r="C14" s="14" t="str">
        <x:v>KF560C30BBEK2-64</x:v>
      </x:c>
      <x:c r="D14" s="14" t="str">
        <x:v>Kingston FURY Beast DDR5-6000 64GB (32GB×2) CL30 EXPO</x:v>
      </x:c>
      <x:c r="E14" s="22"/>
      <x:c r="F14" s="22"/>
      <x:c r="G14" s="22" t="str">
        <x:v>KF560C30BBEK2-64</x:v>
      </x:c>
      <x:c r="H14" s="22"/>
      <x:c r="I14" s="14" t="str">
        <x:v>FURY Beast 64GB DDR5-6000 CL30 EXPO</x:v>
      </x:c>
      <x:c r="J14" s="14" t="str">
        <x:v>research_required</x:v>
      </x:c>
      <x:c r="K14" s="14" t="str">
        <x:v>unrated</x:v>
      </x:c>
      <x:c r="L14" s="23" t="n">
        <x:v>46218</x:v>
      </x:c>
      <x:c r="M14" s="14" t="str">
        <x:v>公式仕様を確認したDDR5デュアルチャネルキット。国内流通SKU、独立レビュー、QVL確認前の調査中レコードです。</x:v>
      </x:c>
      <x:c r="N14" s="14" t="str">
        <x:v>64GBを2枚で構成
DDR5-6000 CL30-36-36
AMD EXPO 1.1・Intel XMP 3.0対応
高さ34.9mm
製品寿命保証</x:v>
      </x:c>
      <x:c r="O14" s="14" t="str">
        <x:v>32GBモジュール2枚の定格動作はCPU IMCとBIOSの影響を受ける</x:v>
      </x:c>
      <x:c r="P14" s="14" t="str">
        <x:v>XMP/EXPO定格はCPU IMC・マザーボード・BIOS依存。DRAM IC・ランク・基板リビジョンは購入時期で変わる可能性があります。</x:v>
      </x:c>
      <x:c r="Q14" s="14" t="str">
        <x:v>ASIN・JAN・国内保証窓口は未確定。購入前に完全型番、マザーボードQVL、CPUの対応速度、クーラーとの干渉、販売店の保証条件を確認してください。
公式データシートの当該リビジョンでは2Rx8。</x:v>
      </x:c>
      <x:c r="R14" s="14" t="str">
        <x:v>DDR5</x:v>
      </x:c>
      <x:c r="S14" s="25" t="n">
        <x:v>64</x:v>
      </x:c>
      <x:c r="T14" s="24" t="n">
        <x:v>2</x:v>
      </x:c>
      <x:c r="U14" s="24" t="n">
        <x:v>6000</x:v>
      </x:c>
      <x:c r="V14" s="15" t="b">
        <x:v>1</x:v>
      </x:c>
      <x:c r="W14" s="25" t="n">
        <x:v>30</x:v>
      </x:c>
      <x:c r="X14" s="25" t="n">
        <x:v>34.9</x:v>
      </x:c>
      <x:c r="Y14" s="14" t="str">
        <x:v>limited_lifetime</x:v>
      </x:c>
      <x:c r="Z14" s="25" t="n">
        <x:v>1.4</x:v>
      </x:c>
      <x:c r="AA14" s="14"/>
      <x:c r="AB14" s="136" t="n">
        <x:v>4800</x:v>
      </x:c>
    </x:row>
    <x:row r="15" ht="52" customHeight="1">
      <x:c r="A15" s="22" t="str">
        <x:v>memory-kingston-kf432c16bbk2-32</x:v>
      </x:c>
      <x:c r="B15" s="14" t="str">
        <x:v>Kingston</x:v>
      </x:c>
      <x:c r="C15" s="14" t="str">
        <x:v>KF432C16BBK2/32</x:v>
      </x:c>
      <x:c r="D15" s="14" t="str">
        <x:v>Kingston FURY Beast DDR4-3200 32GB (16GB×2) CL16</x:v>
      </x:c>
      <x:c r="E15" s="22"/>
      <x:c r="F15" s="22"/>
      <x:c r="G15" s="22" t="str">
        <x:v>KF432C16BBK2/32</x:v>
      </x:c>
      <x:c r="H15" s="22"/>
      <x:c r="I15" s="14" t="str">
        <x:v>FURY Beast 32GB DDR4-3200 CL16</x:v>
      </x:c>
      <x:c r="J15" s="14" t="str">
        <x:v>research_required</x:v>
      </x:c>
      <x:c r="K15" s="14" t="str">
        <x:v>unrated</x:v>
      </x:c>
      <x:c r="L15" s="23" t="n">
        <x:v>46218</x:v>
      </x:c>
      <x:c r="M15" s="14" t="str">
        <x:v>公式仕様を確認したDDR4デュアルチャネルキット。国内流通SKU、独立レビュー、QVL確認前の調査中レコードです。</x:v>
      </x:c>
      <x:c r="N15" s="14" t="str">
        <x:v>DDR4-3200 CL16-20-20
Intel XMP 2.0対応
高さ34mm
製品寿命保証</x:v>
      </x:c>
      <x:c r="O15" s="14" t="str">
        <x:v>AMD EXPO非対応
定格動作はマザーボード・CPUの互換性に依存</x:v>
      </x:c>
      <x:c r="P15" s="14" t="str">
        <x:v>XMP/EXPO定格はCPU IMC・マザーボード・BIOS依存。DRAM IC・ランク・基板リビジョンは購入時期で変わる可能性があります。</x:v>
      </x:c>
      <x:c r="Q15" s="14" t="str">
        <x:v>ASIN・JAN・国内保証窓口は未確定。購入前に完全型番、マザーボードQVL、CPUの対応速度、クーラーとの干渉、販売店の保証条件を確認してください。
公式データシートの当該リビジョンでは1Rx8。</x:v>
      </x:c>
      <x:c r="R15" s="14" t="str">
        <x:v>DDR4</x:v>
      </x:c>
      <x:c r="S15" s="25" t="n">
        <x:v>32</x:v>
      </x:c>
      <x:c r="T15" s="24" t="n">
        <x:v>2</x:v>
      </x:c>
      <x:c r="U15" s="24" t="n">
        <x:v>3200</x:v>
      </x:c>
      <x:c r="V15" s="15" t="b">
        <x:v>0</x:v>
      </x:c>
      <x:c r="W15" s="25" t="n">
        <x:v>16</x:v>
      </x:c>
      <x:c r="X15" s="25" t="n">
        <x:v>34</x:v>
      </x:c>
      <x:c r="Y15" s="14" t="str">
        <x:v>limited_lifetime</x:v>
      </x:c>
      <x:c r="Z15" s="25" t="n">
        <x:v>1.35</x:v>
      </x:c>
      <x:c r="AA15" s="14"/>
      <x:c r="AB15" s="136" t="n">
        <x:v>2400</x:v>
      </x:c>
    </x:row>
    <x:row r="16" ht="52" customHeight="1">
      <x:c r="A16" s="22" t="str">
        <x:v>memory-kingston-kf432c16bbk2-64</x:v>
      </x:c>
      <x:c r="B16" s="14" t="str">
        <x:v>Kingston</x:v>
      </x:c>
      <x:c r="C16" s="14" t="str">
        <x:v>KF432C16BBK2/64</x:v>
      </x:c>
      <x:c r="D16" s="14" t="str">
        <x:v>Kingston FURY Beast DDR4-3200 64GB (32GB×2) CL16</x:v>
      </x:c>
      <x:c r="E16" s="22"/>
      <x:c r="F16" s="22"/>
      <x:c r="G16" s="22" t="str">
        <x:v>KF432C16BBK2/64</x:v>
      </x:c>
      <x:c r="H16" s="22"/>
      <x:c r="I16" s="14" t="str">
        <x:v>FURY Beast 64GB DDR4-3200 CL16</x:v>
      </x:c>
      <x:c r="J16" s="14" t="str">
        <x:v>research_required</x:v>
      </x:c>
      <x:c r="K16" s="14" t="str">
        <x:v>unrated</x:v>
      </x:c>
      <x:c r="L16" s="23" t="n">
        <x:v>46218</x:v>
      </x:c>
      <x:c r="M16" s="14" t="str">
        <x:v>公式仕様を確認したDDR4デュアルチャネルキット。国内流通SKU、独立レビュー、QVL確認前の調査中レコードです。</x:v>
      </x:c>
      <x:c r="N16" s="14" t="str">
        <x:v>64GBを2枚で構成
DDR4-3200 CL16-20-20
Intel XMP 2.0対応
高さ34mm
製品寿命保証</x:v>
      </x:c>
      <x:c r="O16" s="14" t="str">
        <x:v>AMD EXPO非対応
32GBモジュール2枚の定格動作はCPU IMCとBIOSの影響を受ける</x:v>
      </x:c>
      <x:c r="P16" s="14" t="str">
        <x:v>XMP/EXPO定格はCPU IMC・マザーボード・BIOS依存。DRAM IC・ランク・基板リビジョンは購入時期で変わる可能性があります。</x:v>
      </x:c>
      <x:c r="Q16" s="14" t="str">
        <x:v>ASIN・JAN・国内保証窓口は未確定。購入前に完全型番、マザーボードQVL、CPUの対応速度、クーラーとの干渉、販売店の保証条件を確認してください。
公式データシートの当該リビジョンでは2Rx8。</x:v>
      </x:c>
      <x:c r="R16" s="14" t="str">
        <x:v>DDR4</x:v>
      </x:c>
      <x:c r="S16" s="25" t="n">
        <x:v>64</x:v>
      </x:c>
      <x:c r="T16" s="24" t="n">
        <x:v>2</x:v>
      </x:c>
      <x:c r="U16" s="24" t="n">
        <x:v>3200</x:v>
      </x:c>
      <x:c r="V16" s="15" t="b">
        <x:v>0</x:v>
      </x:c>
      <x:c r="W16" s="25" t="n">
        <x:v>16</x:v>
      </x:c>
      <x:c r="X16" s="25" t="n">
        <x:v>34</x:v>
      </x:c>
      <x:c r="Y16" s="14" t="str">
        <x:v>limited_lifetime</x:v>
      </x:c>
      <x:c r="Z16" s="25" t="n">
        <x:v>1.35</x:v>
      </x:c>
      <x:c r="AA16" s="14"/>
      <x:c r="AB16" s="136" t="n">
        <x:v>2400</x:v>
      </x:c>
    </x:row>
    <x:row r="17" ht="52" customHeight="1">
      <x:c r="A17" s="22" t="str">
        <x:v>memory-crucial-cp2k16g60c36u5b</x:v>
      </x:c>
      <x:c r="B17" s="14" t="str">
        <x:v>Crucial</x:v>
      </x:c>
      <x:c r="C17" s="14" t="str">
        <x:v>CP2K16G60C36U5B</x:v>
      </x:c>
      <x:c r="D17" s="14" t="str">
        <x:v>Crucial Pro OC DDR5-6000 32GB (16GB×2) CL36</x:v>
      </x:c>
      <x:c r="E17" s="22"/>
      <x:c r="F17" s="22"/>
      <x:c r="G17" s="22" t="str">
        <x:v>CP2K16G60C36U5B</x:v>
      </x:c>
      <x:c r="H17" s="22"/>
      <x:c r="I17" s="14" t="str">
        <x:v>Crucial Pro Overclocking 32GB DDR5-6000 CL36</x:v>
      </x:c>
      <x:c r="J17" s="14" t="str">
        <x:v>research_required</x:v>
      </x:c>
      <x:c r="K17" s="14" t="str">
        <x:v>unrated</x:v>
      </x:c>
      <x:c r="L17" s="23" t="n">
        <x:v>46218</x:v>
      </x:c>
      <x:c r="M17" s="14" t="str">
        <x:v>公式仕様を確認したDDR5デュアルチャネルキット。国内流通SKU、独立レビュー、QVL確認前の調査中レコードです。</x:v>
      </x:c>
      <x:c r="N17" s="14" t="str">
        <x:v>DDR5-6000 CL36-38-38-80
Intel XMP 3.0・AMD EXPO対応
限定永久保証</x:v>
      </x:c>
      <x:c r="O17" s="14" t="str">
        <x:v>CL36のため既存AM5 CL32以下優先条件では加点対象外
公式商品ページでモジュール高さを数値確認できず</x:v>
      </x:c>
      <x:c r="P17" s="14" t="str">
        <x:v>XMP/EXPO定格はCPU IMC・マザーボード・BIOS依存。DRAM IC・ランク・基板リビジョンは購入時期で変わる可能性があります。</x:v>
      </x:c>
      <x:c r="Q17" s="14" t="str">
        <x:v>ASIN・JAN・国内保証窓口は未確定。購入前に完全型番、マザーボードQVL、CPUの対応速度、クーラーとの干渉、販売店の保証条件を確認してください。</x:v>
      </x:c>
      <x:c r="R17" s="14" t="str">
        <x:v>DDR5</x:v>
      </x:c>
      <x:c r="S17" s="25" t="n">
        <x:v>32</x:v>
      </x:c>
      <x:c r="T17" s="24" t="n">
        <x:v>2</x:v>
      </x:c>
      <x:c r="U17" s="24" t="n">
        <x:v>6000</x:v>
      </x:c>
      <x:c r="V17" s="15" t="b">
        <x:v>1</x:v>
      </x:c>
      <x:c r="W17" s="25" t="n">
        <x:v>36</x:v>
      </x:c>
      <x:c r="X17" s="25"/>
      <x:c r="Y17" s="14" t="str">
        <x:v>limited_lifetime</x:v>
      </x:c>
      <x:c r="Z17" s="25" t="n">
        <x:v>1.35</x:v>
      </x:c>
      <x:c r="AA17" s="14"/>
      <x:c r="AB17" s="136" t="n">
        <x:v>5600</x:v>
      </x:c>
    </x:row>
    <x:row r="18" ht="52" customHeight="1">
      <x:c r="A18" s="22" t="str">
        <x:v>memory-crucial-cp2k32g60c40u5b</x:v>
      </x:c>
      <x:c r="B18" s="14" t="str">
        <x:v>Crucial</x:v>
      </x:c>
      <x:c r="C18" s="14" t="str">
        <x:v>CP2K32G60C40U5B</x:v>
      </x:c>
      <x:c r="D18" s="14" t="str">
        <x:v>Crucial Pro OC DDR5-6000 64GB (32GB×2) CL40</x:v>
      </x:c>
      <x:c r="E18" s="22"/>
      <x:c r="F18" s="22"/>
      <x:c r="G18" s="22" t="str">
        <x:v>CP2K32G60C40U5B</x:v>
      </x:c>
      <x:c r="H18" s="22"/>
      <x:c r="I18" s="14" t="str">
        <x:v>Crucial Pro Overclocking 64GB DDR5-6000 CL40</x:v>
      </x:c>
      <x:c r="J18" s="14" t="str">
        <x:v>research_required</x:v>
      </x:c>
      <x:c r="K18" s="14" t="str">
        <x:v>unrated</x:v>
      </x:c>
      <x:c r="L18" s="23" t="n">
        <x:v>46218</x:v>
      </x:c>
      <x:c r="M18" s="14" t="str">
        <x:v>公式仕様を確認したDDR5デュアルチャネルキット。国内流通SKU、独立レビュー、QVL確認前の調査中レコードです。</x:v>
      </x:c>
      <x:c r="N18" s="14" t="str">
        <x:v>64GBを2枚で構成
DDR5-6000 CL40
Intel XMP 3.0・AMD EXPO対応
限定永久保証</x:v>
      </x:c>
      <x:c r="O18" s="14" t="str">
        <x:v>CL40のため既存AM5 CL32以下優先条件では加点対象外
32GBモジュール2枚の定格動作はCPU IMCとBIOSの影響を受ける</x:v>
      </x:c>
      <x:c r="P18" s="14" t="str">
        <x:v>XMP/EXPO定格はCPU IMC・マザーボード・BIOS依存。DRAM IC・ランク・基板リビジョンは購入時期で変わる可能性があります。</x:v>
      </x:c>
      <x:c r="Q18" s="14" t="str">
        <x:v>ASIN・JAN・国内保証窓口は未確定。購入前に完全型番、マザーボードQVL、CPUの対応速度、クーラーとの干渉、販売店の保証条件を確認してください。</x:v>
      </x:c>
      <x:c r="R18" s="14" t="str">
        <x:v>DDR5</x:v>
      </x:c>
      <x:c r="S18" s="25" t="n">
        <x:v>64</x:v>
      </x:c>
      <x:c r="T18" s="24" t="n">
        <x:v>2</x:v>
      </x:c>
      <x:c r="U18" s="24" t="n">
        <x:v>6000</x:v>
      </x:c>
      <x:c r="V18" s="15" t="b">
        <x:v>1</x:v>
      </x:c>
      <x:c r="W18" s="25" t="n">
        <x:v>40</x:v>
      </x:c>
      <x:c r="X18" s="25"/>
      <x:c r="Y18" s="14" t="str">
        <x:v>limited_lifetime</x:v>
      </x:c>
      <x:c r="Z18" s="25" t="n">
        <x:v>1.35</x:v>
      </x:c>
      <x:c r="AA18" s="14"/>
      <x:c r="AB18" s="136" t="n">
        <x:v>5600</x:v>
      </x:c>
    </x:row>
    <x:row r="19" ht="52" customHeight="1">
      <x:c r="A19" s="22" t="str">
        <x:v>memory-crucial-cp2k16g4dfra32a</x:v>
      </x:c>
      <x:c r="B19" s="14" t="str">
        <x:v>Crucial</x:v>
      </x:c>
      <x:c r="C19" s="14" t="str">
        <x:v>CP2K16G4DFRA32A</x:v>
      </x:c>
      <x:c r="D19" s="14" t="str">
        <x:v>Crucial Pro DDR4-3200 32GB (16GB×2) CL22</x:v>
      </x:c>
      <x:c r="E19" s="22"/>
      <x:c r="F19" s="22"/>
      <x:c r="G19" s="22" t="str">
        <x:v>CP2K16G4DFRA32A</x:v>
      </x:c>
      <x:c r="H19" s="22"/>
      <x:c r="I19" s="14" t="str">
        <x:v>Crucial Pro 32GB DDR4-3200</x:v>
      </x:c>
      <x:c r="J19" s="14" t="str">
        <x:v>research_required</x:v>
      </x:c>
      <x:c r="K19" s="14" t="str">
        <x:v>unrated</x:v>
      </x:c>
      <x:c r="L19" s="23" t="n">
        <x:v>46218</x:v>
      </x:c>
      <x:c r="M19" s="14" t="str">
        <x:v>公式仕様を確認したDDR4デュアルチャネルキット。国内流通SKU、独立レビュー、QVL確認前の調査中レコードです。</x:v>
      </x:c>
      <x:c r="N19" s="14" t="str">
        <x:v>DDR4-3200 CL22
JEDEC定格1.2V
Intel XMP 2.0対応
限定永久保証</x:v>
      </x:c>
      <x:c r="O19" s="14" t="str">
        <x:v>AMD EXPO非対応
CL16製品よりレイテンシが大きい
公式商品ページでモジュール高さを数値確認できず</x:v>
      </x:c>
      <x:c r="P19" s="14" t="str">
        <x:v>XMP/EXPO定格はCPU IMC・マザーボード・BIOS依存。DRAM IC・ランク・基板リビジョンは購入時期で変わる可能性があります。</x:v>
      </x:c>
      <x:c r="Q19" s="14" t="str">
        <x:v>ASIN・JAN・国内保証窓口は未確定。購入前に完全型番、マザーボードQVL、CPUの対応速度、クーラーとの干渉、販売店の保証条件を確認してください。</x:v>
      </x:c>
      <x:c r="R19" s="14" t="str">
        <x:v>DDR4</x:v>
      </x:c>
      <x:c r="S19" s="25" t="n">
        <x:v>32</x:v>
      </x:c>
      <x:c r="T19" s="24" t="n">
        <x:v>2</x:v>
      </x:c>
      <x:c r="U19" s="24" t="n">
        <x:v>3200</x:v>
      </x:c>
      <x:c r="V19" s="15" t="b">
        <x:v>0</x:v>
      </x:c>
      <x:c r="W19" s="25" t="n">
        <x:v>22</x:v>
      </x:c>
      <x:c r="X19" s="25"/>
      <x:c r="Y19" s="14" t="str">
        <x:v>limited_lifetime</x:v>
      </x:c>
      <x:c r="Z19" s="25" t="n">
        <x:v>1.2</x:v>
      </x:c>
      <x:c r="AA19" s="14"/>
      <x:c r="AB19" s="136" t="n">
        <x:v>3200</x:v>
      </x:c>
    </x:row>
    <x:row r="20" ht="52" customHeight="1">
      <x:c r="A20" s="22" t="str">
        <x:v>memory-crucial-cp2k32g4dfra32a</x:v>
      </x:c>
      <x:c r="B20" s="14" t="str">
        <x:v>Crucial</x:v>
      </x:c>
      <x:c r="C20" s="14" t="str">
        <x:v>CP2K32G4DFRA32A</x:v>
      </x:c>
      <x:c r="D20" s="14" t="str">
        <x:v>Crucial Pro DDR4-3200 64GB (32GB×2) CL22</x:v>
      </x:c>
      <x:c r="E20" s="22"/>
      <x:c r="F20" s="22"/>
      <x:c r="G20" s="22" t="str">
        <x:v>CP2K32G4DFRA32A</x:v>
      </x:c>
      <x:c r="H20" s="22"/>
      <x:c r="I20" s="14" t="str">
        <x:v>Crucial Pro 64GB DDR4-3200</x:v>
      </x:c>
      <x:c r="J20" s="14" t="str">
        <x:v>research_required</x:v>
      </x:c>
      <x:c r="K20" s="14" t="str">
        <x:v>unrated</x:v>
      </x:c>
      <x:c r="L20" s="23" t="n">
        <x:v>46218</x:v>
      </x:c>
      <x:c r="M20" s="14" t="str">
        <x:v>公式仕様を確認したDDR4デュアルチャネルキット。国内流通SKU、独立レビュー、QVL確認前の調査中レコードです。</x:v>
      </x:c>
      <x:c r="N20" s="14" t="str">
        <x:v>64GBを2枚で構成
DDR4-3200 CL22
JEDEC定格1.2V
Intel XMP 2.0対応
限定永久保証</x:v>
      </x:c>
      <x:c r="O20" s="14" t="str">
        <x:v>AMD EXPO非対応
CL16製品よりレイテンシが大きい
32GBモジュール2枚の定格動作はCPU IMCとBIOSの影響を受ける</x:v>
      </x:c>
      <x:c r="P20" s="14" t="str">
        <x:v>XMP/EXPO定格はCPU IMC・マザーボード・BIOS依存。DRAM IC・ランク・基板リビジョンは購入時期で変わる可能性があります。</x:v>
      </x:c>
      <x:c r="Q20" s="14" t="str">
        <x:v>ASIN・JAN・国内保証窓口は未確定。購入前に完全型番、マザーボードQVL、CPUの対応速度、クーラーとの干渉、販売店の保証条件を確認してください。</x:v>
      </x:c>
      <x:c r="R20" s="14" t="str">
        <x:v>DDR4</x:v>
      </x:c>
      <x:c r="S20" s="25" t="n">
        <x:v>64</x:v>
      </x:c>
      <x:c r="T20" s="24" t="n">
        <x:v>2</x:v>
      </x:c>
      <x:c r="U20" s="24" t="n">
        <x:v>3200</x:v>
      </x:c>
      <x:c r="V20" s="15" t="b">
        <x:v>0</x:v>
      </x:c>
      <x:c r="W20" s="25" t="n">
        <x:v>22</x:v>
      </x:c>
      <x:c r="X20" s="25"/>
      <x:c r="Y20" s="14" t="str">
        <x:v>limited_lifetime</x:v>
      </x:c>
      <x:c r="Z20" s="25" t="n">
        <x:v>1.2</x:v>
      </x:c>
      <x:c r="AA20" s="14"/>
      <x:c r="AB20" s="136" t="n">
        <x:v>3200</x:v>
      </x:c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14"/>
      <x:c r="S21" s="25"/>
      <x:c r="T21" s="24"/>
      <x:c r="U21" s="24"/>
      <x:c r="V21" s="14"/>
      <x:c r="W21" s="25"/>
      <x:c r="X21" s="25"/>
      <x:c r="Y21" s="14"/>
      <x:c r="Z21" s="25"/>
      <x:c r="AA21" s="14"/>
      <x:c r="AB21" s="136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14"/>
      <x:c r="S22" s="25"/>
      <x:c r="T22" s="24"/>
      <x:c r="U22" s="24"/>
      <x:c r="V22" s="14"/>
      <x:c r="W22" s="25"/>
      <x:c r="X22" s="25"/>
      <x:c r="Y22" s="14"/>
      <x:c r="Z22" s="25"/>
      <x:c r="AA22" s="14"/>
      <x:c r="AB22" s="136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14"/>
      <x:c r="S23" s="25"/>
      <x:c r="T23" s="24"/>
      <x:c r="U23" s="24"/>
      <x:c r="V23" s="14"/>
      <x:c r="W23" s="25"/>
      <x:c r="X23" s="25"/>
      <x:c r="Y23" s="14"/>
      <x:c r="Z23" s="25"/>
      <x:c r="AA23" s="14"/>
      <x:c r="AB23" s="136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14"/>
      <x:c r="S24" s="25"/>
      <x:c r="T24" s="24"/>
      <x:c r="U24" s="24"/>
      <x:c r="V24" s="14"/>
      <x:c r="W24" s="25"/>
      <x:c r="X24" s="25"/>
      <x:c r="Y24" s="14"/>
      <x:c r="Z24" s="25"/>
      <x:c r="AA24" s="14"/>
      <x:c r="AB24" s="136"/>
    </x:row>
  </x:sheetData>
  <x:mergeCells>
    <x:mergeCell ref="A1:AA1"/>
    <x:mergeCell ref="A2:AA2"/>
  </x:mergeCells>
  <x:conditionalFormatting sqref="J5:J24">
    <x:cfRule type="containsText" dxfId="6" priority="1" operator="containsText" text="approved"/>
    <x:cfRule type="containsText" dxfId="7" priority="2" operator="containsText" text="preferred"/>
    <x:cfRule type="containsText" dxfId="8" priority="3" operator="containsText" text="rejected"/>
  </x:conditionalFormatting>
  <x:dataValidations count="5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'Lists'!$S$5:$S$6</x:formula1>
    </x:dataValidation>
    <x:dataValidation type="list" sqref="V5:V24">
      <x:formula1>'Lists'!$C$5:$C$6</x:formula1>
    </x:dataValidation>
    <x:dataValidation type="list" sqref="Y5:Y24">
      <x:formula1>'Lists'!$T$5:$T$9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754d90ed2e64cf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</x:cols>
  <x:sheetData>
    <x:row r="1" ht="30" customHeight="1">
      <x:c r="A1" s="18" t="str">
        <x:v>SSD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</x:row>
    <x:row r="2" ht="34" customHeight="1">
      <x:c r="A2" s="7" t="str">
        <x:v>SSDの容量、NAND、DRAM、持続性能、耐久性、部品一貫性を管理。新製品は最初の空行へ入力してください。列追加時はFieldDefinitionsにも1行追加します。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capacity_gb</x:v>
      </x:c>
      <x:c r="S4" s="21" t="str">
        <x:v>form_factor</x:v>
      </x:c>
      <x:c r="T4" s="21" t="str">
        <x:v>interface_generation</x:v>
      </x:c>
      <x:c r="U4" s="21" t="str">
        <x:v>nand_type</x:v>
      </x:c>
      <x:c r="V4" s="21" t="str">
        <x:v>dram_cache</x:v>
      </x:c>
      <x:c r="W4" s="21" t="str">
        <x:v>sustained_write_class</x:v>
      </x:c>
      <x:c r="X4" s="21" t="str">
        <x:v>tbw_tb</x:v>
      </x:c>
      <x:c r="Y4" s="21" t="str">
        <x:v>warranty_years</x:v>
      </x:c>
      <x:c r="Z4" s="21" t="str">
        <x:v>component_consistency</x:v>
      </x:c>
      <x:c r="AA4" s="21" t="str">
        <x:v>controller</x:v>
      </x:c>
      <x:c r="AB4" s="21" t="str">
        <x:v>sequential_read_mbps</x:v>
      </x:c>
      <x:c r="AC4" s="21" t="str">
        <x:v>sequential_write_mbps</x:v>
      </x:c>
      <x:c r="AD4" s="21" t="str">
        <x:v>heatsink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5"/>
      <x:c r="S5" s="14"/>
      <x:c r="T5" s="25"/>
      <x:c r="U5" s="14"/>
      <x:c r="V5" s="14"/>
      <x:c r="W5" s="14"/>
      <x:c r="X5" s="25"/>
      <x:c r="Y5" s="25"/>
      <x:c r="Z5" s="14"/>
      <x:c r="AA5" s="14"/>
      <x:c r="AB5" s="24"/>
      <x:c r="AC5" s="24"/>
      <x:c r="AD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5"/>
      <x:c r="S6" s="14"/>
      <x:c r="T6" s="25"/>
      <x:c r="U6" s="14"/>
      <x:c r="V6" s="14"/>
      <x:c r="W6" s="14"/>
      <x:c r="X6" s="25"/>
      <x:c r="Y6" s="25"/>
      <x:c r="Z6" s="14"/>
      <x:c r="AA6" s="14"/>
      <x:c r="AB6" s="24"/>
      <x:c r="AC6" s="24"/>
      <x:c r="AD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5"/>
      <x:c r="S7" s="14"/>
      <x:c r="T7" s="25"/>
      <x:c r="U7" s="14"/>
      <x:c r="V7" s="14"/>
      <x:c r="W7" s="14"/>
      <x:c r="X7" s="25"/>
      <x:c r="Y7" s="25"/>
      <x:c r="Z7" s="14"/>
      <x:c r="AA7" s="14"/>
      <x:c r="AB7" s="24"/>
      <x:c r="AC7" s="24"/>
      <x:c r="AD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5"/>
      <x:c r="S8" s="14"/>
      <x:c r="T8" s="25"/>
      <x:c r="U8" s="14"/>
      <x:c r="V8" s="14"/>
      <x:c r="W8" s="14"/>
      <x:c r="X8" s="25"/>
      <x:c r="Y8" s="25"/>
      <x:c r="Z8" s="14"/>
      <x:c r="AA8" s="14"/>
      <x:c r="AB8" s="24"/>
      <x:c r="AC8" s="24"/>
      <x:c r="AD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5"/>
      <x:c r="S9" s="14"/>
      <x:c r="T9" s="25"/>
      <x:c r="U9" s="14"/>
      <x:c r="V9" s="14"/>
      <x:c r="W9" s="14"/>
      <x:c r="X9" s="25"/>
      <x:c r="Y9" s="25"/>
      <x:c r="Z9" s="14"/>
      <x:c r="AA9" s="14"/>
      <x:c r="AB9" s="24"/>
      <x:c r="AC9" s="24"/>
      <x:c r="AD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5"/>
      <x:c r="S10" s="14"/>
      <x:c r="T10" s="25"/>
      <x:c r="U10" s="14"/>
      <x:c r="V10" s="14"/>
      <x:c r="W10" s="14"/>
      <x:c r="X10" s="25"/>
      <x:c r="Y10" s="25"/>
      <x:c r="Z10" s="14"/>
      <x:c r="AA10" s="14"/>
      <x:c r="AB10" s="24"/>
      <x:c r="AC10" s="24"/>
      <x:c r="AD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5"/>
      <x:c r="S11" s="14"/>
      <x:c r="T11" s="25"/>
      <x:c r="U11" s="14"/>
      <x:c r="V11" s="14"/>
      <x:c r="W11" s="14"/>
      <x:c r="X11" s="25"/>
      <x:c r="Y11" s="25"/>
      <x:c r="Z11" s="14"/>
      <x:c r="AA11" s="14"/>
      <x:c r="AB11" s="24"/>
      <x:c r="AC11" s="24"/>
      <x:c r="AD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5"/>
      <x:c r="S12" s="14"/>
      <x:c r="T12" s="25"/>
      <x:c r="U12" s="14"/>
      <x:c r="V12" s="14"/>
      <x:c r="W12" s="14"/>
      <x:c r="X12" s="25"/>
      <x:c r="Y12" s="25"/>
      <x:c r="Z12" s="14"/>
      <x:c r="AA12" s="14"/>
      <x:c r="AB12" s="24"/>
      <x:c r="AC12" s="24"/>
      <x:c r="AD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5"/>
      <x:c r="S13" s="14"/>
      <x:c r="T13" s="25"/>
      <x:c r="U13" s="14"/>
      <x:c r="V13" s="14"/>
      <x:c r="W13" s="14"/>
      <x:c r="X13" s="25"/>
      <x:c r="Y13" s="25"/>
      <x:c r="Z13" s="14"/>
      <x:c r="AA13" s="14"/>
      <x:c r="AB13" s="24"/>
      <x:c r="AC13" s="24"/>
      <x:c r="AD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5"/>
      <x:c r="S14" s="14"/>
      <x:c r="T14" s="25"/>
      <x:c r="U14" s="14"/>
      <x:c r="V14" s="14"/>
      <x:c r="W14" s="14"/>
      <x:c r="X14" s="25"/>
      <x:c r="Y14" s="25"/>
      <x:c r="Z14" s="14"/>
      <x:c r="AA14" s="14"/>
      <x:c r="AB14" s="24"/>
      <x:c r="AC14" s="24"/>
      <x:c r="AD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5"/>
      <x:c r="S15" s="14"/>
      <x:c r="T15" s="25"/>
      <x:c r="U15" s="14"/>
      <x:c r="V15" s="14"/>
      <x:c r="W15" s="14"/>
      <x:c r="X15" s="25"/>
      <x:c r="Y15" s="25"/>
      <x:c r="Z15" s="14"/>
      <x:c r="AA15" s="14"/>
      <x:c r="AB15" s="24"/>
      <x:c r="AC15" s="24"/>
      <x:c r="AD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5"/>
      <x:c r="S16" s="14"/>
      <x:c r="T16" s="25"/>
      <x:c r="U16" s="14"/>
      <x:c r="V16" s="14"/>
      <x:c r="W16" s="14"/>
      <x:c r="X16" s="25"/>
      <x:c r="Y16" s="25"/>
      <x:c r="Z16" s="14"/>
      <x:c r="AA16" s="14"/>
      <x:c r="AB16" s="24"/>
      <x:c r="AC16" s="24"/>
      <x:c r="AD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5"/>
      <x:c r="S17" s="14"/>
      <x:c r="T17" s="25"/>
      <x:c r="U17" s="14"/>
      <x:c r="V17" s="14"/>
      <x:c r="W17" s="14"/>
      <x:c r="X17" s="25"/>
      <x:c r="Y17" s="25"/>
      <x:c r="Z17" s="14"/>
      <x:c r="AA17" s="14"/>
      <x:c r="AB17" s="24"/>
      <x:c r="AC17" s="24"/>
      <x:c r="AD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5"/>
      <x:c r="S18" s="14"/>
      <x:c r="T18" s="25"/>
      <x:c r="U18" s="14"/>
      <x:c r="V18" s="14"/>
      <x:c r="W18" s="14"/>
      <x:c r="X18" s="25"/>
      <x:c r="Y18" s="25"/>
      <x:c r="Z18" s="14"/>
      <x:c r="AA18" s="14"/>
      <x:c r="AB18" s="24"/>
      <x:c r="AC18" s="24"/>
      <x:c r="AD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5"/>
      <x:c r="S19" s="14"/>
      <x:c r="T19" s="25"/>
      <x:c r="U19" s="14"/>
      <x:c r="V19" s="14"/>
      <x:c r="W19" s="14"/>
      <x:c r="X19" s="25"/>
      <x:c r="Y19" s="25"/>
      <x:c r="Z19" s="14"/>
      <x:c r="AA19" s="14"/>
      <x:c r="AB19" s="24"/>
      <x:c r="AC19" s="24"/>
      <x:c r="AD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5"/>
      <x:c r="S20" s="14"/>
      <x:c r="T20" s="25"/>
      <x:c r="U20" s="14"/>
      <x:c r="V20" s="14"/>
      <x:c r="W20" s="14"/>
      <x:c r="X20" s="25"/>
      <x:c r="Y20" s="25"/>
      <x:c r="Z20" s="14"/>
      <x:c r="AA20" s="14"/>
      <x:c r="AB20" s="24"/>
      <x:c r="AC20" s="24"/>
      <x:c r="AD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5"/>
      <x:c r="S21" s="14"/>
      <x:c r="T21" s="25"/>
      <x:c r="U21" s="14"/>
      <x:c r="V21" s="14"/>
      <x:c r="W21" s="14"/>
      <x:c r="X21" s="25"/>
      <x:c r="Y21" s="25"/>
      <x:c r="Z21" s="14"/>
      <x:c r="AA21" s="14"/>
      <x:c r="AB21" s="24"/>
      <x:c r="AC21" s="24"/>
      <x:c r="AD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5"/>
      <x:c r="S22" s="14"/>
      <x:c r="T22" s="25"/>
      <x:c r="U22" s="14"/>
      <x:c r="V22" s="14"/>
      <x:c r="W22" s="14"/>
      <x:c r="X22" s="25"/>
      <x:c r="Y22" s="25"/>
      <x:c r="Z22" s="14"/>
      <x:c r="AA22" s="14"/>
      <x:c r="AB22" s="24"/>
      <x:c r="AC22" s="24"/>
      <x:c r="AD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5"/>
      <x:c r="S23" s="14"/>
      <x:c r="T23" s="25"/>
      <x:c r="U23" s="14"/>
      <x:c r="V23" s="14"/>
      <x:c r="W23" s="14"/>
      <x:c r="X23" s="25"/>
      <x:c r="Y23" s="25"/>
      <x:c r="Z23" s="14"/>
      <x:c r="AA23" s="14"/>
      <x:c r="AB23" s="24"/>
      <x:c r="AC23" s="24"/>
      <x:c r="AD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5"/>
      <x:c r="S24" s="14"/>
      <x:c r="T24" s="25"/>
      <x:c r="U24" s="14"/>
      <x:c r="V24" s="14"/>
      <x:c r="W24" s="14"/>
      <x:c r="X24" s="25"/>
      <x:c r="Y24" s="25"/>
      <x:c r="Z24" s="14"/>
      <x:c r="AA24" s="14"/>
      <x:c r="AB24" s="24"/>
      <x:c r="AC24" s="24"/>
      <x:c r="AD24" s="14"/>
    </x:row>
  </x:sheetData>
  <x:mergeCells>
    <x:mergeCell ref="A1:AD1"/>
    <x:mergeCell ref="A2:AD2"/>
  </x:mergeCells>
  <x:conditionalFormatting sqref="J5:J24">
    <x:cfRule type="containsText" dxfId="9" priority="1" operator="containsText" text="approved"/>
    <x:cfRule type="containsText" dxfId="10" priority="2" operator="containsText" text="preferred"/>
    <x:cfRule type="containsText" dxfId="11" priority="3" operator="containsText" text="rejected"/>
  </x:conditionalFormatting>
  <x:dataValidations count="8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'Lists'!$U$5:$U$8</x:formula1>
    </x:dataValidation>
    <x:dataValidation type="list" sqref="U5:U24">
      <x:formula1>'Lists'!$V$5:$V$9</x:formula1>
    </x:dataValidation>
    <x:dataValidation type="list" sqref="V5:V24">
      <x:formula1>'Lists'!$C$5:$C$6</x:formula1>
    </x:dataValidation>
    <x:dataValidation type="list" sqref="W5:W24">
      <x:formula1>'Lists'!$W$5:$W$9</x:formula1>
    </x:dataValidation>
    <x:dataValidation type="list" sqref="Z5:Z24">
      <x:formula1>'Lists'!$X$5:$X$8</x:formula1>
    </x:dataValidation>
    <x:dataValidation type="list" sqref="AD5:AD24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63b98b6c2e4b85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</x:cols>
  <x:sheetData>
    <x:row r="1" ht="30" customHeight="1">
      <x:c r="A1" s="18" t="str">
        <x:v>PSU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</x:row>
    <x:row r="2" ht="34" customHeight="1">
      <x:c r="A2" s="7" t="str">
        <x:v>電源容量、ATX規格、効率、静音性、電気性能、保護回路を管理。新製品は最初の空行へ入力してください。列追加時はFieldDefinitionsにも1行追加します。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wattage</x:v>
      </x:c>
      <x:c r="S4" s="21" t="str">
        <x:v>atx_version</x:v>
      </x:c>
      <x:c r="T4" s="21" t="str">
        <x:v>native_12v2x6</x:v>
      </x:c>
      <x:c r="U4" s="21" t="str">
        <x:v>warranty_years</x:v>
      </x:c>
      <x:c r="V4" s="21" t="str">
        <x:v>protection_set_complete</x:v>
      </x:c>
      <x:c r="W4" s="21" t="str">
        <x:v>efficiency_230v_tier</x:v>
      </x:c>
      <x:c r="X4" s="21" t="str">
        <x:v>noise_tier</x:v>
      </x:c>
      <x:c r="Y4" s="21" t="str">
        <x:v>electrical_performance_tier</x:v>
      </x:c>
      <x:c r="Z4" s="21" t="str">
        <x:v>form_factor</x:v>
      </x:c>
      <x:c r="AA4" s="21" t="str">
        <x:v>length_mm</x:v>
      </x:c>
      <x:c r="AB4" s="21" t="str">
        <x:v>modular_type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4"/>
      <x:c r="S5" s="14"/>
      <x:c r="T5" s="14"/>
      <x:c r="U5" s="25"/>
      <x:c r="V5" s="14"/>
      <x:c r="W5" s="14"/>
      <x:c r="X5" s="14"/>
      <x:c r="Y5" s="14"/>
      <x:c r="Z5" s="14"/>
      <x:c r="AA5" s="25"/>
      <x:c r="AB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4"/>
      <x:c r="S6" s="14"/>
      <x:c r="T6" s="14"/>
      <x:c r="U6" s="25"/>
      <x:c r="V6" s="14"/>
      <x:c r="W6" s="14"/>
      <x:c r="X6" s="14"/>
      <x:c r="Y6" s="14"/>
      <x:c r="Z6" s="14"/>
      <x:c r="AA6" s="25"/>
      <x:c r="AB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4"/>
      <x:c r="S7" s="14"/>
      <x:c r="T7" s="14"/>
      <x:c r="U7" s="25"/>
      <x:c r="V7" s="14"/>
      <x:c r="W7" s="14"/>
      <x:c r="X7" s="14"/>
      <x:c r="Y7" s="14"/>
      <x:c r="Z7" s="14"/>
      <x:c r="AA7" s="25"/>
      <x:c r="AB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4"/>
      <x:c r="S8" s="14"/>
      <x:c r="T8" s="14"/>
      <x:c r="U8" s="25"/>
      <x:c r="V8" s="14"/>
      <x:c r="W8" s="14"/>
      <x:c r="X8" s="14"/>
      <x:c r="Y8" s="14"/>
      <x:c r="Z8" s="14"/>
      <x:c r="AA8" s="25"/>
      <x:c r="AB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4"/>
      <x:c r="S9" s="14"/>
      <x:c r="T9" s="14"/>
      <x:c r="U9" s="25"/>
      <x:c r="V9" s="14"/>
      <x:c r="W9" s="14"/>
      <x:c r="X9" s="14"/>
      <x:c r="Y9" s="14"/>
      <x:c r="Z9" s="14"/>
      <x:c r="AA9" s="25"/>
      <x:c r="AB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4"/>
      <x:c r="S10" s="14"/>
      <x:c r="T10" s="14"/>
      <x:c r="U10" s="25"/>
      <x:c r="V10" s="14"/>
      <x:c r="W10" s="14"/>
      <x:c r="X10" s="14"/>
      <x:c r="Y10" s="14"/>
      <x:c r="Z10" s="14"/>
      <x:c r="AA10" s="25"/>
      <x:c r="AB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4"/>
      <x:c r="S11" s="14"/>
      <x:c r="T11" s="14"/>
      <x:c r="U11" s="25"/>
      <x:c r="V11" s="14"/>
      <x:c r="W11" s="14"/>
      <x:c r="X11" s="14"/>
      <x:c r="Y11" s="14"/>
      <x:c r="Z11" s="14"/>
      <x:c r="AA11" s="25"/>
      <x:c r="AB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4"/>
      <x:c r="S12" s="14"/>
      <x:c r="T12" s="14"/>
      <x:c r="U12" s="25"/>
      <x:c r="V12" s="14"/>
      <x:c r="W12" s="14"/>
      <x:c r="X12" s="14"/>
      <x:c r="Y12" s="14"/>
      <x:c r="Z12" s="14"/>
      <x:c r="AA12" s="25"/>
      <x:c r="AB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4"/>
      <x:c r="S13" s="14"/>
      <x:c r="T13" s="14"/>
      <x:c r="U13" s="25"/>
      <x:c r="V13" s="14"/>
      <x:c r="W13" s="14"/>
      <x:c r="X13" s="14"/>
      <x:c r="Y13" s="14"/>
      <x:c r="Z13" s="14"/>
      <x:c r="AA13" s="25"/>
      <x:c r="AB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4"/>
      <x:c r="S14" s="14"/>
      <x:c r="T14" s="14"/>
      <x:c r="U14" s="25"/>
      <x:c r="V14" s="14"/>
      <x:c r="W14" s="14"/>
      <x:c r="X14" s="14"/>
      <x:c r="Y14" s="14"/>
      <x:c r="Z14" s="14"/>
      <x:c r="AA14" s="25"/>
      <x:c r="AB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4"/>
      <x:c r="S15" s="14"/>
      <x:c r="T15" s="14"/>
      <x:c r="U15" s="25"/>
      <x:c r="V15" s="14"/>
      <x:c r="W15" s="14"/>
      <x:c r="X15" s="14"/>
      <x:c r="Y15" s="14"/>
      <x:c r="Z15" s="14"/>
      <x:c r="AA15" s="25"/>
      <x:c r="AB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4"/>
      <x:c r="S16" s="14"/>
      <x:c r="T16" s="14"/>
      <x:c r="U16" s="25"/>
      <x:c r="V16" s="14"/>
      <x:c r="W16" s="14"/>
      <x:c r="X16" s="14"/>
      <x:c r="Y16" s="14"/>
      <x:c r="Z16" s="14"/>
      <x:c r="AA16" s="25"/>
      <x:c r="AB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4"/>
      <x:c r="S17" s="14"/>
      <x:c r="T17" s="14"/>
      <x:c r="U17" s="25"/>
      <x:c r="V17" s="14"/>
      <x:c r="W17" s="14"/>
      <x:c r="X17" s="14"/>
      <x:c r="Y17" s="14"/>
      <x:c r="Z17" s="14"/>
      <x:c r="AA17" s="25"/>
      <x:c r="AB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4"/>
      <x:c r="S18" s="14"/>
      <x:c r="T18" s="14"/>
      <x:c r="U18" s="25"/>
      <x:c r="V18" s="14"/>
      <x:c r="W18" s="14"/>
      <x:c r="X18" s="14"/>
      <x:c r="Y18" s="14"/>
      <x:c r="Z18" s="14"/>
      <x:c r="AA18" s="25"/>
      <x:c r="AB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4"/>
      <x:c r="S19" s="14"/>
      <x:c r="T19" s="14"/>
      <x:c r="U19" s="25"/>
      <x:c r="V19" s="14"/>
      <x:c r="W19" s="14"/>
      <x:c r="X19" s="14"/>
      <x:c r="Y19" s="14"/>
      <x:c r="Z19" s="14"/>
      <x:c r="AA19" s="25"/>
      <x:c r="AB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4"/>
      <x:c r="S20" s="14"/>
      <x:c r="T20" s="14"/>
      <x:c r="U20" s="25"/>
      <x:c r="V20" s="14"/>
      <x:c r="W20" s="14"/>
      <x:c r="X20" s="14"/>
      <x:c r="Y20" s="14"/>
      <x:c r="Z20" s="14"/>
      <x:c r="AA20" s="25"/>
      <x:c r="AB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4"/>
      <x:c r="S21" s="14"/>
      <x:c r="T21" s="14"/>
      <x:c r="U21" s="25"/>
      <x:c r="V21" s="14"/>
      <x:c r="W21" s="14"/>
      <x:c r="X21" s="14"/>
      <x:c r="Y21" s="14"/>
      <x:c r="Z21" s="14"/>
      <x:c r="AA21" s="25"/>
      <x:c r="AB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4"/>
      <x:c r="S22" s="14"/>
      <x:c r="T22" s="14"/>
      <x:c r="U22" s="25"/>
      <x:c r="V22" s="14"/>
      <x:c r="W22" s="14"/>
      <x:c r="X22" s="14"/>
      <x:c r="Y22" s="14"/>
      <x:c r="Z22" s="14"/>
      <x:c r="AA22" s="25"/>
      <x:c r="AB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4"/>
      <x:c r="S23" s="14"/>
      <x:c r="T23" s="14"/>
      <x:c r="U23" s="25"/>
      <x:c r="V23" s="14"/>
      <x:c r="W23" s="14"/>
      <x:c r="X23" s="14"/>
      <x:c r="Y23" s="14"/>
      <x:c r="Z23" s="14"/>
      <x:c r="AA23" s="25"/>
      <x:c r="AB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4"/>
      <x:c r="S24" s="14"/>
      <x:c r="T24" s="14"/>
      <x:c r="U24" s="25"/>
      <x:c r="V24" s="14"/>
      <x:c r="W24" s="14"/>
      <x:c r="X24" s="14"/>
      <x:c r="Y24" s="14"/>
      <x:c r="Z24" s="14"/>
      <x:c r="AA24" s="25"/>
      <x:c r="AB24" s="14"/>
    </x:row>
  </x:sheetData>
  <x:mergeCells>
    <x:mergeCell ref="A1:AB1"/>
    <x:mergeCell ref="A2:AB2"/>
  </x:mergeCells>
  <x:conditionalFormatting sqref="J5:J24">
    <x:cfRule type="containsText" dxfId="12" priority="1" operator="containsText" text="approved"/>
    <x:cfRule type="containsText" dxfId="13" priority="2" operator="containsText" text="preferred"/>
    <x:cfRule type="containsText" dxfId="14" priority="3" operator="containsText" text="rejected"/>
  </x:conditionalFormatting>
  <x:dataValidations count="10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'Lists'!$Y$5:$Y$8</x:formula1>
    </x:dataValidation>
    <x:dataValidation type="list" sqref="T5:T24">
      <x:formula1>'Lists'!$C$5:$C$6</x:formula1>
    </x:dataValidation>
    <x:dataValidation type="list" sqref="V5:V24">
      <x:formula1>'Lists'!$C$5:$C$6</x:formula1>
    </x:dataValidation>
    <x:dataValidation type="list" sqref="W5:W24">
      <x:formula1>'Lists'!$Z$5:$Z$9</x:formula1>
    </x:dataValidation>
    <x:dataValidation type="list" sqref="X5:X24">
      <x:formula1>'Lists'!$AA$5:$AA$10</x:formula1>
    </x:dataValidation>
    <x:dataValidation type="list" sqref="Y5:Y24">
      <x:formula1>'Lists'!$AB$5:$AB$9</x:formula1>
    </x:dataValidation>
    <x:dataValidation type="list" sqref="Z5:Z24">
      <x:formula1>'Lists'!$AC$5:$AC$7</x:formula1>
    </x:dataValidation>
    <x:dataValidation type="list" sqref="AB5:AB24">
      <x:formula1>'Lists'!$AD$5:$AD$7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a290d4bb05f494e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30" hidden="0" customWidth="1"/>
    <x:col min="4" max="4" width="30" hidden="0" customWidth="1"/>
    <x:col min="5" max="5" width="15" hidden="0" customWidth="1"/>
    <x:col min="6" max="6" width="15" hidden="0" customWidth="1"/>
    <x:col min="7" max="7" width="27" hidden="0" customWidth="1"/>
    <x:col min="8" max="8" width="15" hidden="0" customWidth="1"/>
    <x:col min="9" max="9" width="27" hidden="0" customWidth="1"/>
    <x:col min="10" max="10" width="14" hidden="0" customWidth="1"/>
    <x:col min="11" max="11" width="14" hidden="0" customWidth="1"/>
    <x:col min="12" max="12" width="15" hidden="0" customWidth="1"/>
    <x:col min="13" max="13" width="27" hidden="0" customWidth="1"/>
    <x:col min="14" max="14" width="27" hidden="0" customWidth="1"/>
    <x:col min="15" max="15" width="27" hidden="0" customWidth="1"/>
    <x:col min="16" max="16" width="34" hidden="0" customWidth="1"/>
    <x:col min="17" max="17" width="34" hidden="0" customWidth="1"/>
    <x:col min="18" max="18" width="15" hidden="0" customWidth="1"/>
    <x:col min="19" max="19" width="15" hidden="0" customWidth="1"/>
    <x:col min="20" max="20" width="20" hidden="0" customWidth="1"/>
    <x:col min="21" max="21" width="16" hidden="0" customWidth="1"/>
    <x:col min="22" max="22" width="14" hidden="0" customWidth="1"/>
    <x:col min="23" max="23" width="14" hidden="0" customWidth="1"/>
    <x:col min="24" max="24" width="14" hidden="0" customWidth="1"/>
    <x:col min="25" max="25" width="16" hidden="0" customWidth="1"/>
    <x:col min="26" max="26" width="27" hidden="0" customWidth="1"/>
    <x:col min="27" max="27" width="15" hidden="0" customWidth="1"/>
    <x:col min="28" max="28" width="16" hidden="0" customWidth="1"/>
    <x:col min="29" max="29" width="16" hidden="0" customWidth="1"/>
    <x:col min="30" max="30" width="19" hidden="0" customWidth="1"/>
    <x:col min="31" max="31" width="23" hidden="0" customWidth="1"/>
    <x:col min="32" max="32" width="28" hidden="0" customWidth="1"/>
    <x:col min="33" max="33" width="24" hidden="0" customWidth="1"/>
    <x:col min="34" max="34" width="20" hidden="0" customWidth="1"/>
    <x:col min="35" max="35" width="18" hidden="0" customWidth="1"/>
    <x:col min="36" max="36" width="25" hidden="0" customWidth="1"/>
    <x:col min="37" max="37" width="22" hidden="0" customWidth="1"/>
    <x:col min="38" max="38" width="16" hidden="0" customWidth="1"/>
    <x:col min="39" max="39" width="22" hidden="0" customWidth="1"/>
    <x:col min="40" max="40" width="15" hidden="0" customWidth="1"/>
    <x:col min="41" max="41" width="20" hidden="0" customWidth="1"/>
    <x:col min="42" max="42" width="18" hidden="0" customWidth="1"/>
    <x:col min="43" max="43" width="24" hidden="0" customWidth="1"/>
    <x:col min="44" max="44" width="15" hidden="0" customWidth="1"/>
    <x:col min="45" max="45" width="20" hidden="0" customWidth="1"/>
    <x:col min="46" max="46" width="18" hidden="0" customWidth="1"/>
    <x:col min="47" max="47" width="20" hidden="0" customWidth="1"/>
    <x:col min="48" max="48" width="18" hidden="0" customWidth="1"/>
    <x:col min="49" max="49" width="18" hidden="0" customWidth="1"/>
    <x:col min="50" max="50" width="30" hidden="0" customWidth="1"/>
    <x:col min="51" max="51" width="19" hidden="0" customWidth="1"/>
    <x:col min="52" max="52" width="20" hidden="0" customWidth="1"/>
    <x:col min="53" max="53" width="20" hidden="0" customWidth="1"/>
    <x:col min="54" max="54" width="22" hidden="0" customWidth="1"/>
    <x:col min="55" max="55" width="20" hidden="0" customWidth="1"/>
    <x:col min="56" max="56" width="34" hidden="0" customWidth="1"/>
    <x:col min="57" max="57" width="22" hidden="0" customWidth="1"/>
    <x:col min="58" max="58" width="24" hidden="0" customWidth="1"/>
    <x:col min="59" max="59" width="18" hidden="0" customWidth="1"/>
    <x:col min="60" max="60" width="20" hidden="0" customWidth="1"/>
    <x:col min="61" max="61" width="14" hidden="0" customWidth="1"/>
    <x:col min="62" max="62" width="24" hidden="0" customWidth="1"/>
    <x:col min="63" max="63" width="18" hidden="0" customWidth="1"/>
    <x:col min="64" max="64" width="20" hidden="0" customWidth="1"/>
    <x:col min="65" max="65" width="14" hidden="0" customWidth="1"/>
    <x:col min="66" max="66" width="24" hidden="0" customWidth="1"/>
    <x:col min="67" max="67" width="24" hidden="0" customWidth="1"/>
  </x:cols>
  <x:sheetData>
    <x:row r="1" ht="28" customHeight="1">
      <x:c r="A1" s="179" t="str">
        <x:v>Motherboard 品質カタログ</x:v>
      </x:c>
      <x:c r="B1" s="179"/>
      <x:c r="C1" s="179"/>
      <x:c r="D1" s="179"/>
      <x:c r="E1" s="179"/>
      <x:c r="F1" s="179"/>
      <x:c r="G1" s="179"/>
      <x:c r="H1" s="179"/>
      <x:c r="I1" s="179"/>
      <x:c r="J1" s="179"/>
      <x:c r="K1" s="179"/>
      <x:c r="L1" s="179"/>
      <x:c r="M1" s="179"/>
      <x:c r="N1" s="179"/>
      <x:c r="O1" s="179"/>
      <x:c r="P1" s="179"/>
      <x:c r="Q1" s="179"/>
      <x:c r="R1" s="179"/>
      <x:c r="S1" s="179"/>
      <x:c r="T1" s="179"/>
      <x:c r="U1" s="179"/>
      <x:c r="V1" s="179"/>
      <x:c r="W1" s="179"/>
      <x:c r="X1" s="179"/>
      <x:c r="Y1" s="179"/>
      <x:c r="Z1" s="179"/>
      <x:c r="AA1" s="179"/>
      <x:c r="AB1" s="179"/>
      <x:c r="AC1" s="179"/>
      <x:c r="AD1" s="179"/>
      <x:c r="AE1" s="181"/>
      <x:c r="AF1" s="181"/>
      <x:c r="AG1" s="181"/>
      <x:c r="AH1" s="181"/>
      <x:c r="AI1" s="181"/>
      <x:c r="AJ1" s="181"/>
      <x:c r="AK1" s="181"/>
      <x:c r="AL1" s="181"/>
      <x:c r="AM1" s="181"/>
      <x:c r="AN1" s="181"/>
      <x:c r="AO1" s="181"/>
      <x:c r="AP1" s="181"/>
      <x:c r="AQ1" s="181"/>
      <x:c r="AR1" s="181"/>
      <x:c r="AS1" s="181"/>
      <x:c r="AT1" s="181"/>
      <x:c r="AU1" s="181"/>
      <x:c r="AV1" s="181"/>
      <x:c r="AW1" s="181"/>
      <x:c r="AX1" s="181"/>
      <x:c r="AY1" s="181"/>
      <x:c r="AZ1" s="181"/>
      <x:c r="BA1" s="181"/>
      <x:c r="BB1" s="181"/>
      <x:c r="BC1" s="181"/>
      <x:c r="BD1" s="181"/>
      <x:c r="BE1" s="181"/>
      <x:c r="BF1" s="181"/>
      <x:c r="BG1" s="181"/>
      <x:c r="BH1" s="181"/>
      <x:c r="BI1" s="181"/>
      <x:c r="BJ1" s="181"/>
      <x:c r="BK1" s="181"/>
      <x:c r="BL1" s="181"/>
      <x:c r="BM1" s="181"/>
      <x:c r="BN1" s="181"/>
      <x:c r="BO1" s="181"/>
    </x:row>
    <x:row r="2" ht="42" customHeight="1">
      <x:c r="A2" s="184" t="str">
        <x:v>正式モデルと基板rev.ごとに管理します。親シートは検索用集計、MotherboardSlotsはPCIe/M.2とレーン共有、MotherboardUSBは背面・内部USBの公式規格と本数を1グループ1行で保持します。</x:v>
      </x:c>
      <x:c r="B2" s="184"/>
      <x:c r="C2" s="184"/>
      <x:c r="D2" s="184"/>
      <x:c r="E2" s="184"/>
      <x:c r="F2" s="184"/>
      <x:c r="G2" s="184"/>
      <x:c r="H2" s="184"/>
      <x:c r="I2" s="184"/>
      <x:c r="J2" s="184"/>
      <x:c r="K2" s="184"/>
      <x:c r="L2" s="184"/>
      <x:c r="M2" s="184"/>
      <x:c r="N2" s="184"/>
      <x:c r="O2" s="184"/>
      <x:c r="P2" s="184"/>
      <x:c r="Q2" s="184"/>
      <x:c r="R2" s="184"/>
      <x:c r="S2" s="184"/>
      <x:c r="T2" s="184"/>
      <x:c r="U2" s="184"/>
      <x:c r="V2" s="184"/>
      <x:c r="W2" s="184"/>
      <x:c r="X2" s="184"/>
      <x:c r="Y2" s="184"/>
      <x:c r="Z2" s="184"/>
      <x:c r="AA2" s="184"/>
      <x:c r="AB2" s="184"/>
      <x:c r="AC2" s="184"/>
      <x:c r="AD2" s="184"/>
      <x:c r="AE2" s="187"/>
      <x:c r="AF2" s="187"/>
      <x:c r="AG2" s="187"/>
      <x:c r="AH2" s="187"/>
      <x:c r="AI2" s="187"/>
      <x:c r="AJ2" s="187"/>
      <x:c r="AK2" s="187"/>
      <x:c r="AL2" s="187"/>
      <x:c r="AM2" s="187"/>
      <x:c r="AN2" s="187"/>
      <x:c r="AO2" s="187"/>
      <x:c r="AP2" s="187"/>
      <x:c r="AQ2" s="187"/>
      <x:c r="AR2" s="187"/>
      <x:c r="AS2" s="187"/>
      <x:c r="AT2" s="187"/>
      <x:c r="AU2" s="187"/>
      <x:c r="AV2" s="187"/>
      <x:c r="AW2" s="187"/>
      <x:c r="AX2" s="187"/>
      <x:c r="AY2" s="187"/>
      <x:c r="AZ2" s="187"/>
      <x:c r="BA2" s="187"/>
      <x:c r="BB2" s="187"/>
      <x:c r="BC2" s="187"/>
      <x:c r="BD2" s="187"/>
      <x:c r="BE2" s="187"/>
      <x:c r="BF2" s="187"/>
      <x:c r="BG2" s="187"/>
      <x:c r="BH2" s="187"/>
      <x:c r="BI2" s="187"/>
      <x:c r="BJ2" s="187"/>
      <x:c r="BK2" s="187"/>
      <x:c r="BL2" s="187"/>
      <x:c r="BM2" s="187"/>
      <x:c r="BN2" s="187"/>
      <x:c r="BO2" s="187"/>
    </x:row>
    <x:row r="3" ht="8" customHeight="1"/>
    <x:row r="4" ht="54" customHeight="1">
      <x:c r="A4" s="192" t="str">
        <x:v>product_id</x:v>
      </x:c>
      <x:c r="B4" s="192" t="str">
        <x:v>brand</x:v>
      </x:c>
      <x:c r="C4" s="192" t="str">
        <x:v>model</x:v>
      </x:c>
      <x:c r="D4" s="192" t="str">
        <x:v>display_name</x:v>
      </x:c>
      <x:c r="E4" s="192" t="str">
        <x:v>primary_asin</x:v>
      </x:c>
      <x:c r="F4" s="192" t="str">
        <x:v>primary_jan</x:v>
      </x:c>
      <x:c r="G4" s="192" t="str">
        <x:v>part_number</x:v>
      </x:c>
      <x:c r="H4" s="192" t="str">
        <x:v>kakaku_product_id</x:v>
      </x:c>
      <x:c r="I4" s="192" t="str">
        <x:v>aliases</x:v>
      </x:c>
      <x:c r="J4" s="192" t="str">
        <x:v>status</x:v>
      </x:c>
      <x:c r="K4" s="192" t="str">
        <x:v>tier</x:v>
      </x:c>
      <x:c r="L4" s="192" t="str">
        <x:v>reviewed_at</x:v>
      </x:c>
      <x:c r="M4" s="192" t="str">
        <x:v>quality_summary</x:v>
      </x:c>
      <x:c r="N4" s="192" t="str">
        <x:v>strengths</x:v>
      </x:c>
      <x:c r="O4" s="192" t="str">
        <x:v>weaknesses</x:v>
      </x:c>
      <x:c r="P4" s="192" t="str">
        <x:v>risk_summary</x:v>
      </x:c>
      <x:c r="Q4" s="192" t="str">
        <x:v>notes</x:v>
      </x:c>
      <x:c r="R4" s="192" t="str">
        <x:v>release_date</x:v>
      </x:c>
      <x:c r="S4" s="192" t="str">
        <x:v>launch_period</x:v>
      </x:c>
      <x:c r="T4" s="192" t="str">
        <x:v>release_date_precision</x:v>
      </x:c>
      <x:c r="U4" s="192" t="str">
        <x:v>board_revision</x:v>
      </x:c>
      <x:c r="V4" s="192" t="str">
        <x:v>socket</x:v>
      </x:c>
      <x:c r="W4" s="192" t="str">
        <x:v>chipset</x:v>
      </x:c>
      <x:c r="X4" s="192" t="str">
        <x:v>memory_type</x:v>
      </x:c>
      <x:c r="Y4" s="192" t="str">
        <x:v>form_factor</x:v>
      </x:c>
      <x:c r="Z4" s="192" t="str">
        <x:v>cpu_support_scope</x:v>
      </x:c>
      <x:c r="AA4" s="192" t="str">
        <x:v>memory_slots</x:v>
      </x:c>
      <x:c r="AB4" s="192" t="str">
        <x:v>max_memory_gb</x:v>
      </x:c>
      <x:c r="AC4" s="192" t="str">
        <x:v>jedec_max_mt_s</x:v>
      </x:c>
      <x:c r="AD4" s="192" t="str">
        <x:v>memory_oc_max_mt_s</x:v>
      </x:c>
      <x:c r="AE4" s="194" t="str">
        <x:v>memory_profile_support</x:v>
      </x:c>
      <x:c r="AF4" s="194" t="str">
        <x:v>ecc_support</x:v>
      </x:c>
      <x:c r="AG4" s="194" t="str">
        <x:v>vrm_design</x:v>
      </x:c>
      <x:c r="AH4" s="194" t="str">
        <x:v>power_stage_rating_a</x:v>
      </x:c>
      <x:c r="AI4" s="194" t="str">
        <x:v>eps_connectors</x:v>
      </x:c>
      <x:c r="AJ4" s="194" t="str">
        <x:v>vrm_sustained_cpu_class</x:v>
      </x:c>
      <x:c r="AK4" s="194" t="str">
        <x:v>primary_pcie_generation</x:v>
      </x:c>
      <x:c r="AL4" s="194" t="str">
        <x:v>primary_pcie_lanes</x:v>
      </x:c>
      <x:c r="AM4" s="194" t="str">
        <x:v>pcie_x16_physical_slots</x:v>
      </x:c>
      <x:c r="AN4" s="194" t="str">
        <x:v>m2_slots</x:v>
      </x:c>
      <x:c r="AO4" s="194" t="str">
        <x:v>pcie5_m2_slots</x:v>
      </x:c>
      <x:c r="AP4" s="194" t="str">
        <x:v>sata_ports</x:v>
      </x:c>
      <x:c r="AQ4" s="194" t="str">
        <x:v>m2_heatsink_slots</x:v>
      </x:c>
      <x:c r="AR4" s="194" t="str">
        <x:v>lane_sharing_severity</x:v>
      </x:c>
      <x:c r="AS4" s="194" t="str">
        <x:v>lan_speed_gbps</x:v>
      </x:c>
      <x:c r="AT4" s="194" t="str">
        <x:v>lan_controller</x:v>
      </x:c>
      <x:c r="AU4" s="194" t="str">
        <x:v>wifi_generation</x:v>
      </x:c>
      <x:c r="AV4" s="194" t="str">
        <x:v>wifi_controller</x:v>
      </x:c>
      <x:c r="AW4" s="194" t="str">
        <x:v>bluetooth_version</x:v>
      </x:c>
      <x:c r="AX4" s="194" t="str">
        <x:v>audio_codec</x:v>
      </x:c>
      <x:c r="AY4" s="194" t="str">
        <x:v>rear_usb_total_count</x:v>
      </x:c>
      <x:c r="AZ4" s="194" t="str">
        <x:v>rear_usb_type_a_count</x:v>
      </x:c>
      <x:c r="BA4" s="194" t="str">
        <x:v>rear_usb_type_c_count</x:v>
      </x:c>
      <x:c r="BB4" s="194" t="str">
        <x:v>rear_usb_fastest_gbps</x:v>
      </x:c>
      <x:c r="BC4" s="194" t="str">
        <x:v>rear_usb4_type_c_count</x:v>
      </x:c>
      <x:c r="BD4" s="194" t="str">
        <x:v>rear_usb_official_summary</x:v>
      </x:c>
      <x:c r="BE4" s="194" t="str">
        <x:v>front_usb_c_header_count</x:v>
      </x:c>
      <x:c r="BF4" s="194" t="str">
        <x:v>front_usb_c_max_speed_gbps</x:v>
      </x:c>
      <x:c r="BG4" s="194" t="str">
        <x:v>bios_flashback</x:v>
      </x:c>
      <x:c r="BH4" s="194" t="str">
        <x:v>clear_cmos_button</x:v>
      </x:c>
      <x:c r="BI4" s="194" t="str">
        <x:v>dual_bios</x:v>
      </x:c>
      <x:c r="BJ4" s="194" t="str">
        <x:v>debug_features</x:v>
      </x:c>
      <x:c r="BK4" s="194" t="str">
        <x:v>fan_headers_total</x:v>
      </x:c>
      <x:c r="BL4" s="194" t="str">
        <x:v>pump_capable_headers</x:v>
      </x:c>
      <x:c r="BM4" s="194" t="str">
        <x:v>pcb_layers</x:v>
      </x:c>
      <x:c r="BN4" s="194" t="str">
        <x:v>domestic_distributor</x:v>
      </x:c>
      <x:c r="BO4" s="194" t="str">
        <x:v>domestic_warranty_years</x:v>
      </x:c>
    </x:row>
    <x:row r="5" ht="58" customHeight="1">
      <x:c r="A5" s="22" t="str">
        <x:v>motherboard-asus-tuf-gaming-b650-plus-wifi</x:v>
      </x:c>
      <x:c r="B5" s="14" t="str">
        <x:v>ASUS</x:v>
      </x:c>
      <x:c r="C5" s="14" t="str">
        <x:v>TUF GAMING B650-PLUS WIFI</x:v>
      </x:c>
      <x:c r="D5" s="14" t="str">
        <x:v>ASUS TUF GAMING B650-PLUS WIFI</x:v>
      </x:c>
      <x:c r="E5" s="22"/>
      <x:c r="F5" s="22"/>
      <x:c r="G5" s="22" t="str">
        <x:v>TUF GAMING B650-PLUS WIFI</x:v>
      </x:c>
      <x:c r="H5" s="22"/>
      <x:c r="I5" s="14" t="str">
        <x:v>TUF GAMING B650-PLUS WIFI</x:v>
      </x:c>
      <x:c r="J5" s="14" t="str">
        <x:v>research_required</x:v>
      </x:c>
      <x:c r="K5" s="14" t="str">
        <x:v>unrated</x:v>
      </x:c>
      <x:c r="L5" s="23"/>
      <x:c r="M5" s="14" t="str">
        <x:v>メーカー公式仕様を構造化。独立検証前のため品質Tierは未評価。</x:v>
      </x:c>
      <x:c r="N5" s="14"/>
      <x:c r="O5" s="14" t="str">
        <x:v>独立レビューによるVRM温度・メモリ互換性は未確認
国内代理店・国内保証条件は未確認
BIOSバージョン別のCPU対応状況は購入前確認が必要</x:v>
      </x:c>
      <x:c r="P5" s="14" t="str">
        <x:v>M.2_3使用時にPCIEX16_2が無効化。CPU世代で一部PCIeレーン幅も変化する</x:v>
      </x:c>
      <x:c r="Q5" s="14" t="str">
        <x:v>メーカー公式仕様を初期登録。ASIN・JAN・価格.com ID、国内保証は未確認です。購入監視へ採用する前に販売ページの完全型番、基板リビジョン、付属品、状態、保証を照合してください。</x:v>
      </x:c>
      <x:c r="R5" s="23"/>
      <x:c r="S5" s="14"/>
      <x:c r="T5" s="14" t="str">
        <x:v>unknown</x:v>
      </x:c>
      <x:c r="U5" s="14"/>
      <x:c r="V5" s="14" t="str">
        <x:v>AM5</x:v>
      </x:c>
      <x:c r="W5" s="24" t="str">
        <x:v>B650</x:v>
      </x:c>
      <x:c r="X5" s="14" t="str">
        <x:v>DDR5</x:v>
      </x:c>
      <x:c r="Y5" s="25" t="str">
        <x:v>ATX</x:v>
      </x:c>
      <x:c r="Z5" s="25" t="str">
        <x:v>AMD Ryzen 9000
AMD Ryzen 8000
AMD Ryzen 7000</x:v>
      </x:c>
      <x:c r="AA5" s="24" t="n">
        <x:v>4</x:v>
      </x:c>
      <x:c r="AB5" s="14" t="n">
        <x:v>256</x:v>
      </x:c>
      <x:c r="AC5" s="14" t="n">
        <x:v>5200</x:v>
      </x:c>
      <x:c r="AD5" s="25" t="n">
        <x:v>7600</x:v>
      </x:c>
      <x:c r="AE5" s="14" t="str">
        <x:v>AMD EXPO</x:v>
      </x:c>
      <x:c r="AF5" s="14" t="str">
        <x:v>ECC mode</x:v>
      </x:c>
      <x:c r="AG5" s="14" t="str">
        <x:v>12+2+2 power stages</x:v>
      </x:c>
      <x:c r="AH5" s="14" t="n">
        <x:v>60</x:v>
      </x:c>
      <x:c r="AI5" s="14" t="str">
        <x:v>1x8-pin + 1x4-pin</x:v>
      </x:c>
      <x:c r="AJ5" s="14"/>
      <x:c r="AK5" s="14" t="n">
        <x:v>4</x:v>
      </x:c>
      <x:c r="AL5" s="14" t="n">
        <x:v>16</x:v>
      </x:c>
      <x:c r="AM5" s="14" t="n">
        <x:v>2</x:v>
      </x:c>
      <x:c r="AN5" s="14" t="n">
        <x:v>3</x:v>
      </x:c>
      <x:c r="AO5" s="14" t="n">
        <x:v>1</x:v>
      </x:c>
      <x:c r="AP5" s="14" t="n">
        <x:v>4</x:v>
      </x:c>
      <x:c r="AQ5" s="14" t="n">
        <x:v>3</x:v>
      </x:c>
      <x:c r="AR5" s="14" t="str">
        <x:v>medium</x:v>
      </x:c>
      <x:c r="AS5" s="14" t="n">
        <x:v>2.5</x:v>
      </x:c>
      <x:c r="AT5" s="14" t="str">
        <x:v>Realtek 2.5Gb Ethernet</x:v>
      </x:c>
      <x:c r="AU5" s="14" t="str">
        <x:v>Wi-Fi 6</x:v>
      </x:c>
      <x:c r="AV5" s="14"/>
      <x:c r="AW5" s="14" t="str">
        <x:v>5.2</x:v>
      </x:c>
      <x:c r="AX5" s="14" t="str">
        <x:v>Realtek 7.1 Surround Sound High Definition Audio CODEC</x:v>
      </x:c>
      <x:c r="AY5" s="14" t="n">
        <x:v>8</x:v>
      </x:c>
      <x:c r="AZ5" s="14" t="n">
        <x:v>6</x:v>
      </x:c>
      <x:c r="BA5" s="14" t="n">
        <x:v>2</x:v>
      </x:c>
      <x:c r="BB5" s="14" t="n">
        <x:v>20</x:v>
      </x:c>
      <x:c r="BC5" s="14" t="n">
        <x:v>0</x:v>
      </x:c>
      <x:c r="BD5" s="14" t="str">
        <x:v>USB 3.2 Gen 2x2 Type-C x1
USB 3.2 Gen 2 Type-A x2 / Type-C x1
USB 2.0 Type-A x4</x:v>
      </x:c>
      <x:c r="BE5" s="14" t="n">
        <x:v>1</x:v>
      </x:c>
      <x:c r="BF5" s="14" t="n">
        <x:v>5</x:v>
      </x:c>
      <x:c r="BG5" s="15" t="b">
        <x:v>1</x:v>
      </x:c>
      <x:c r="BH5" s="15" t="b">
        <x:v>0</x:v>
      </x:c>
      <x:c r="BI5" s="15" t="b">
        <x:v>0</x:v>
      </x:c>
      <x:c r="BJ5" s="14" t="str">
        <x:v>Q-LED</x:v>
      </x:c>
      <x:c r="BK5" s="14" t="n">
        <x:v>7</x:v>
      </x:c>
      <x:c r="BL5" s="14" t="n">
        <x:v>1</x:v>
      </x:c>
      <x:c r="BM5" s="14"/>
      <x:c r="BN5" s="14"/>
      <x:c r="BO5" s="14"/>
    </x:row>
    <x:row r="6" ht="58" customHeight="1">
      <x:c r="A6" s="22" t="str">
        <x:v>motherboard-msi-mag-b650-tomahawk-wifi</x:v>
      </x:c>
      <x:c r="B6" s="14" t="str">
        <x:v>MSI</x:v>
      </x:c>
      <x:c r="C6" s="14" t="str">
        <x:v>MAG B650 TOMAHAWK WIFI</x:v>
      </x:c>
      <x:c r="D6" s="14" t="str">
        <x:v>MSI MAG B650 TOMAHAWK WIFI</x:v>
      </x:c>
      <x:c r="E6" s="22"/>
      <x:c r="F6" s="22"/>
      <x:c r="G6" s="22" t="str">
        <x:v>MAG B650 TOMAHAWK WIFI</x:v>
      </x:c>
      <x:c r="H6" s="22"/>
      <x:c r="I6" s="14" t="str">
        <x:v>MAG B650 TOMAHAWK WIFI</x:v>
      </x:c>
      <x:c r="J6" s="14" t="str">
        <x:v>research_required</x:v>
      </x:c>
      <x:c r="K6" s="14" t="str">
        <x:v>unrated</x:v>
      </x:c>
      <x:c r="L6" s="23"/>
      <x:c r="M6" s="14" t="str">
        <x:v>メーカー公式仕様を構造化。独立検証前のため品質Tierは未評価。</x:v>
      </x:c>
      <x:c r="N6" s="14"/>
      <x:c r="O6" s="14" t="str">
        <x:v>独立レビューによるVRM温度・メモリ互換性は未確認
国内代理店・国内保証条件は未確認
BIOSバージョン別のCPU対応状況は購入前確認が必要</x:v>
      </x:c>
      <x:c r="P6" s="14" t="str">
        <x:v>M2_3とPCI_E2を同時使用すると双方x2。Ryzen 8500/8300系ではM2_2が使用不可</x:v>
      </x:c>
      <x:c r="Q6" s="14" t="str">
        <x:v>メーカー公式仕様を初期登録。ASIN・JAN・価格.com ID、国内保証は未確認です。購入監視へ採用する前に販売ページの完全型番、基板リビジョン、付属品、状態、保証を照合してください。</x:v>
      </x:c>
      <x:c r="R6" s="23"/>
      <x:c r="S6" s="14"/>
      <x:c r="T6" s="14" t="str">
        <x:v>unknown</x:v>
      </x:c>
      <x:c r="U6" s="14"/>
      <x:c r="V6" s="14" t="str">
        <x:v>AM5</x:v>
      </x:c>
      <x:c r="W6" s="24" t="str">
        <x:v>B650</x:v>
      </x:c>
      <x:c r="X6" s="14" t="str">
        <x:v>DDR5</x:v>
      </x:c>
      <x:c r="Y6" s="25" t="str">
        <x:v>ATX</x:v>
      </x:c>
      <x:c r="Z6" s="25" t="str">
        <x:v>AMD Ryzen 9000
AMD Ryzen 8000
AMD Ryzen 7000</x:v>
      </x:c>
      <x:c r="AA6" s="24" t="n">
        <x:v>4</x:v>
      </x:c>
      <x:c r="AB6" s="14" t="n">
        <x:v>256</x:v>
      </x:c>
      <x:c r="AC6" s="14" t="n">
        <x:v>4800</x:v>
      </x:c>
      <x:c r="AD6" s="25" t="n">
        <x:v>7600</x:v>
      </x:c>
      <x:c r="AE6" s="14" t="str">
        <x:v>AMD EXPO</x:v>
      </x:c>
      <x:c r="AF6" s="14" t="str">
        <x:v>non-ECC only</x:v>
      </x:c>
      <x:c r="AG6" s="14" t="str">
        <x:v>14+2+1 Duet Rail Power System</x:v>
      </x:c>
      <x:c r="AH6" s="14" t="n">
        <x:v>80</x:v>
      </x:c>
      <x:c r="AI6" s="14" t="str">
        <x:v>2x8-pin</x:v>
      </x:c>
      <x:c r="AJ6" s="14"/>
      <x:c r="AK6" s="14" t="n">
        <x:v>4</x:v>
      </x:c>
      <x:c r="AL6" s="14" t="n">
        <x:v>16</x:v>
      </x:c>
      <x:c r="AM6" s="14" t="n">
        <x:v>2</x:v>
      </x:c>
      <x:c r="AN6" s="14" t="n">
        <x:v>3</x:v>
      </x:c>
      <x:c r="AO6" s="14" t="n">
        <x:v>0</x:v>
      </x:c>
      <x:c r="AP6" s="14" t="n">
        <x:v>6</x:v>
      </x:c>
      <x:c r="AQ6" s="14" t="n">
        <x:v>2</x:v>
      </x:c>
      <x:c r="AR6" s="14" t="str">
        <x:v>medium</x:v>
      </x:c>
      <x:c r="AS6" s="14" t="n">
        <x:v>2.5</x:v>
      </x:c>
      <x:c r="AT6" s="14" t="str">
        <x:v>Realtek RTL8125BG</x:v>
      </x:c>
      <x:c r="AU6" s="14" t="str">
        <x:v>Wi-Fi 6E</x:v>
      </x:c>
      <x:c r="AV6" s="14"/>
      <x:c r="AW6" s="14" t="str">
        <x:v>5.3</x:v>
      </x:c>
      <x:c r="AX6" s="14" t="str">
        <x:v>Realtek ALC4080</x:v>
      </x:c>
      <x:c r="AY6" s="14" t="n">
        <x:v>10</x:v>
      </x:c>
      <x:c r="AZ6" s="14" t="n">
        <x:v>9</x:v>
      </x:c>
      <x:c r="BA6" s="14" t="n">
        <x:v>1</x:v>
      </x:c>
      <x:c r="BB6" s="14" t="n">
        <x:v>20</x:v>
      </x:c>
      <x:c r="BC6" s="14" t="n">
        <x:v>0</x:v>
      </x:c>
      <x:c r="BD6" s="14" t="str">
        <x:v>USB 3.2 Gen 2x2 Type-C x1
USB 3.2 Gen 2 Type-A x3
USB 3.2 Gen 1 Type-A x4
USB 2.0 Type-A x2</x:v>
      </x:c>
      <x:c r="BE6" s="14" t="n">
        <x:v>1</x:v>
      </x:c>
      <x:c r="BF6" s="14" t="n">
        <x:v>10</x:v>
      </x:c>
      <x:c r="BG6" s="15" t="b">
        <x:v>1</x:v>
      </x:c>
      <x:c r="BH6" s="15" t="b">
        <x:v>0</x:v>
      </x:c>
      <x:c r="BI6" s="15" t="b">
        <x:v>0</x:v>
      </x:c>
      <x:c r="BJ6" s="14" t="str">
        <x:v>4x EZ Debug LED</x:v>
      </x:c>
      <x:c r="BK6" s="14" t="n">
        <x:v>8</x:v>
      </x:c>
      <x:c r="BL6" s="14" t="n">
        <x:v>1</x:v>
      </x:c>
      <x:c r="BM6" s="14" t="n">
        <x:v>6</x:v>
      </x:c>
      <x:c r="BN6" s="14"/>
      <x:c r="BO6" s="14"/>
    </x:row>
    <x:row r="7" ht="58" customHeight="1">
      <x:c r="A7" s="22" t="str">
        <x:v>motherboard-gigabyte-b650-aorus-elite-ax-v2-rev-10</x:v>
      </x:c>
      <x:c r="B7" s="14" t="str">
        <x:v>GIGABYTE</x:v>
      </x:c>
      <x:c r="C7" s="14" t="str">
        <x:v>B650 AORUS ELITE AX V2 (rev. 1.0)</x:v>
      </x:c>
      <x:c r="D7" s="14" t="str">
        <x:v>GIGABYTE B650 AORUS ELITE AX V2 rev. 1.0</x:v>
      </x:c>
      <x:c r="E7" s="22"/>
      <x:c r="F7" s="22"/>
      <x:c r="G7" s="22" t="str">
        <x:v>B650 AORUS ELITE AX V2 (rev. 1.0)</x:v>
      </x:c>
      <x:c r="H7" s="22"/>
      <x:c r="I7" s="14" t="str">
        <x:v>B650 AORUS ELITE AX V2 (rev. 1.0)</x:v>
      </x:c>
      <x:c r="J7" s="14" t="str">
        <x:v>research_required</x:v>
      </x:c>
      <x:c r="K7" s="14" t="str">
        <x:v>unrated</x:v>
      </x:c>
      <x:c r="L7" s="23"/>
      <x:c r="M7" s="14" t="str">
        <x:v>メーカー公式仕様を構造化。独立検証前のため品質Tierは未評価。</x:v>
      </x:c>
      <x:c r="N7" s="14"/>
      <x:c r="O7" s="14" t="str">
        <x:v>独立レビューによるVRM温度・メモリ互換性は未確認
国内代理店・国内保証条件は未確認
BIOSバージョン別のCPU対応状況は購入前確認が必要</x:v>
      </x:c>
      <x:c r="P7" s="14" t="str">
        <x:v>rev. 1.0とrev. 1.1で無線LANコントローラーが異なる。販売ページで基板rev.確認が必要</x:v>
      </x:c>
      <x:c r="Q7" s="14" t="str">
        <x:v>メーカー公式仕様を初期登録。ASIN・JAN・価格.com ID、国内保証は未確認です。購入監視へ採用する前に販売ページの完全型番、基板リビジョン、付属品、状態、保証を照合してください。</x:v>
      </x:c>
      <x:c r="R7" s="23"/>
      <x:c r="S7" s="14"/>
      <x:c r="T7" s="14" t="str">
        <x:v>unknown</x:v>
      </x:c>
      <x:c r="U7" s="14" t="str">
        <x:v>1.0</x:v>
      </x:c>
      <x:c r="V7" s="14" t="str">
        <x:v>AM5</x:v>
      </x:c>
      <x:c r="W7" s="24" t="str">
        <x:v>B650</x:v>
      </x:c>
      <x:c r="X7" s="14" t="str">
        <x:v>DDR5</x:v>
      </x:c>
      <x:c r="Y7" s="25" t="str">
        <x:v>ATX</x:v>
      </x:c>
      <x:c r="Z7" s="25" t="str">
        <x:v>AMD Ryzen 9000
AMD Ryzen 8000
AMD Ryzen 7000</x:v>
      </x:c>
      <x:c r="AA7" s="24" t="n">
        <x:v>4</x:v>
      </x:c>
      <x:c r="AB7" s="14" t="n">
        <x:v>256</x:v>
      </x:c>
      <x:c r="AC7" s="14" t="n">
        <x:v>5200</x:v>
      </x:c>
      <x:c r="AD7" s="25" t="n">
        <x:v>8000</x:v>
      </x:c>
      <x:c r="AE7" s="14" t="str">
        <x:v>AMD EXPO
Intel XMP</x:v>
      </x:c>
      <x:c r="AF7" s="14" t="str">
        <x:v>non-ECC only</x:v>
      </x:c>
      <x:c r="AG7" s="14" t="str">
        <x:v>12+2+2 phases digital VRM</x:v>
      </x:c>
      <x:c r="AH7" s="14" t="n">
        <x:v>60</x:v>
      </x:c>
      <x:c r="AI7" s="14" t="str">
        <x:v>1x8-pin + 1x4-pin</x:v>
      </x:c>
      <x:c r="AJ7" s="14"/>
      <x:c r="AK7" s="14" t="n">
        <x:v>4</x:v>
      </x:c>
      <x:c r="AL7" s="14" t="n">
        <x:v>16</x:v>
      </x:c>
      <x:c r="AM7" s="14" t="n">
        <x:v>3</x:v>
      </x:c>
      <x:c r="AN7" s="14" t="n">
        <x:v>3</x:v>
      </x:c>
      <x:c r="AO7" s="14" t="n">
        <x:v>1</x:v>
      </x:c>
      <x:c r="AP7" s="14" t="n">
        <x:v>4</x:v>
      </x:c>
      <x:c r="AQ7" s="14" t="n">
        <x:v>3</x:v>
      </x:c>
      <x:c r="AR7" s="14" t="str">
        <x:v>low</x:v>
      </x:c>
      <x:c r="AS7" s="14" t="n">
        <x:v>2.5</x:v>
      </x:c>
      <x:c r="AT7" s="14" t="str">
        <x:v>Realtek 2.5Gb Ethernet</x:v>
      </x:c>
      <x:c r="AU7" s="14" t="str">
        <x:v>Wi-Fi 6E</x:v>
      </x:c>
      <x:c r="AV7" s="14" t="str">
        <x:v>Realtek RTL8852CE</x:v>
      </x:c>
      <x:c r="AW7" s="14" t="str">
        <x:v>5.3</x:v>
      </x:c>
      <x:c r="AX7" s="14" t="str">
        <x:v>Realtek Audio CODEC</x:v>
      </x:c>
      <x:c r="AY7" s="14" t="n">
        <x:v>12</x:v>
      </x:c>
      <x:c r="AZ7" s="14" t="n">
        <x:v>11</x:v>
      </x:c>
      <x:c r="BA7" s="14" t="n">
        <x:v>1</x:v>
      </x:c>
      <x:c r="BB7" s="14" t="n">
        <x:v>10</x:v>
      </x:c>
      <x:c r="BC7" s="14" t="n">
        <x:v>0</x:v>
      </x:c>
      <x:c r="BD7" s="14" t="str">
        <x:v>USB 3.2 Gen 2 Type-C x1 / Type-A x2
USB 3.2 Gen 1 Type-A x5
USB 2.0 Type-A x4</x:v>
      </x:c>
      <x:c r="BE7" s="14" t="n">
        <x:v>1</x:v>
      </x:c>
      <x:c r="BF7" s="14" t="n">
        <x:v>20</x:v>
      </x:c>
      <x:c r="BG7" s="15" t="b">
        <x:v>1</x:v>
      </x:c>
      <x:c r="BH7" s="15" t="b">
        <x:v>0</x:v>
      </x:c>
      <x:c r="BI7" s="15" t="b">
        <x:v>0</x:v>
      </x:c>
      <x:c r="BJ7" s="14"/>
      <x:c r="BK7" s="14" t="n">
        <x:v>6</x:v>
      </x:c>
      <x:c r="BL7" s="14" t="n">
        <x:v>2</x:v>
      </x:c>
      <x:c r="BM7" s="14" t="n">
        <x:v>6</x:v>
      </x:c>
      <x:c r="BN7" s="14"/>
      <x:c r="BO7" s="14"/>
    </x:row>
    <x:row r="8" ht="58" customHeight="1">
      <x:c r="A8" s="22" t="str">
        <x:v>motherboard-gigabyte-b650-aorus-elite-ax-v2-rev-11</x:v>
      </x:c>
      <x:c r="B8" s="14" t="str">
        <x:v>GIGABYTE</x:v>
      </x:c>
      <x:c r="C8" s="14" t="str">
        <x:v>B650 AORUS ELITE AX V2 (rev. 1.1)</x:v>
      </x:c>
      <x:c r="D8" s="14" t="str">
        <x:v>GIGABYTE B650 AORUS ELITE AX V2 rev. 1.1</x:v>
      </x:c>
      <x:c r="E8" s="22"/>
      <x:c r="F8" s="22"/>
      <x:c r="G8" s="22" t="str">
        <x:v>B650 AORUS ELITE AX V2 (rev. 1.1)</x:v>
      </x:c>
      <x:c r="H8" s="22"/>
      <x:c r="I8" s="14" t="str">
        <x:v>B650 AORUS ELITE AX V2 (rev. 1.1)</x:v>
      </x:c>
      <x:c r="J8" s="14" t="str">
        <x:v>research_required</x:v>
      </x:c>
      <x:c r="K8" s="14" t="str">
        <x:v>unrated</x:v>
      </x:c>
      <x:c r="L8" s="23"/>
      <x:c r="M8" s="14" t="str">
        <x:v>メーカー公式仕様を構造化。独立検証前のため品質Tierは未評価。</x:v>
      </x:c>
      <x:c r="N8" s="14"/>
      <x:c r="O8" s="14" t="str">
        <x:v>独立レビューによるVRM温度・メモリ互換性は未確認
国内代理店・国内保証条件は未確認
BIOSバージョン別のCPU対応状況は購入前確認が必要</x:v>
      </x:c>
      <x:c r="P8" s="14" t="str">
        <x:v>rev. 1.0とrev. 1.1で無線LANコントローラーが異なる。販売ページで基板rev.確認が必要</x:v>
      </x:c>
      <x:c r="Q8" s="14" t="str">
        <x:v>メーカー公式仕様を初期登録。ASIN・JAN・価格.com ID、国内保証は未確認です。購入監視へ採用する前に販売ページの完全型番、基板リビジョン、付属品、状態、保証を照合してください。</x:v>
      </x:c>
      <x:c r="R8" s="23"/>
      <x:c r="S8" s="14"/>
      <x:c r="T8" s="14" t="str">
        <x:v>unknown</x:v>
      </x:c>
      <x:c r="U8" s="14" t="str">
        <x:v>1.1</x:v>
      </x:c>
      <x:c r="V8" s="14" t="str">
        <x:v>AM5</x:v>
      </x:c>
      <x:c r="W8" s="24" t="str">
        <x:v>B650</x:v>
      </x:c>
      <x:c r="X8" s="14" t="str">
        <x:v>DDR5</x:v>
      </x:c>
      <x:c r="Y8" s="25" t="str">
        <x:v>ATX</x:v>
      </x:c>
      <x:c r="Z8" s="25" t="str">
        <x:v>AMD Ryzen 9000
AMD Ryzen 8000
AMD Ryzen 7000</x:v>
      </x:c>
      <x:c r="AA8" s="24" t="n">
        <x:v>4</x:v>
      </x:c>
      <x:c r="AB8" s="14" t="n">
        <x:v>256</x:v>
      </x:c>
      <x:c r="AC8" s="14" t="n">
        <x:v>5200</x:v>
      </x:c>
      <x:c r="AD8" s="25" t="n">
        <x:v>8000</x:v>
      </x:c>
      <x:c r="AE8" s="14" t="str">
        <x:v>AMD EXPO
Intel XMP</x:v>
      </x:c>
      <x:c r="AF8" s="14" t="str">
        <x:v>non-ECC only</x:v>
      </x:c>
      <x:c r="AG8" s="14" t="str">
        <x:v>12+2+2 phases digital VRM</x:v>
      </x:c>
      <x:c r="AH8" s="14" t="n">
        <x:v>60</x:v>
      </x:c>
      <x:c r="AI8" s="14" t="str">
        <x:v>1x8-pin + 1x4-pin</x:v>
      </x:c>
      <x:c r="AJ8" s="14"/>
      <x:c r="AK8" s="14" t="n">
        <x:v>4</x:v>
      </x:c>
      <x:c r="AL8" s="14" t="n">
        <x:v>16</x:v>
      </x:c>
      <x:c r="AM8" s="14" t="n">
        <x:v>3</x:v>
      </x:c>
      <x:c r="AN8" s="14" t="n">
        <x:v>3</x:v>
      </x:c>
      <x:c r="AO8" s="14" t="n">
        <x:v>1</x:v>
      </x:c>
      <x:c r="AP8" s="14" t="n">
        <x:v>4</x:v>
      </x:c>
      <x:c r="AQ8" s="14" t="n">
        <x:v>3</x:v>
      </x:c>
      <x:c r="AR8" s="14" t="str">
        <x:v>low</x:v>
      </x:c>
      <x:c r="AS8" s="14" t="n">
        <x:v>2.5</x:v>
      </x:c>
      <x:c r="AT8" s="14" t="str">
        <x:v>Realtek 2.5Gb Ethernet</x:v>
      </x:c>
      <x:c r="AU8" s="14" t="str">
        <x:v>Wi-Fi 6E</x:v>
      </x:c>
      <x:c r="AV8" s="14" t="str">
        <x:v>Intel AX210</x:v>
      </x:c>
      <x:c r="AW8" s="14" t="str">
        <x:v>5.3</x:v>
      </x:c>
      <x:c r="AX8" s="14" t="str">
        <x:v>Realtek Audio CODEC</x:v>
      </x:c>
      <x:c r="AY8" s="14" t="n">
        <x:v>12</x:v>
      </x:c>
      <x:c r="AZ8" s="14" t="n">
        <x:v>11</x:v>
      </x:c>
      <x:c r="BA8" s="14" t="n">
        <x:v>1</x:v>
      </x:c>
      <x:c r="BB8" s="14" t="n">
        <x:v>10</x:v>
      </x:c>
      <x:c r="BC8" s="14" t="n">
        <x:v>0</x:v>
      </x:c>
      <x:c r="BD8" s="14" t="str">
        <x:v>USB 3.2 Gen 2 Type-C x1 / Type-A x2
USB 3.2 Gen 1 Type-A x5
USB 2.0 Type-A x4</x:v>
      </x:c>
      <x:c r="BE8" s="14" t="n">
        <x:v>1</x:v>
      </x:c>
      <x:c r="BF8" s="14" t="n">
        <x:v>20</x:v>
      </x:c>
      <x:c r="BG8" s="15" t="b">
        <x:v>1</x:v>
      </x:c>
      <x:c r="BH8" s="15" t="b">
        <x:v>0</x:v>
      </x:c>
      <x:c r="BI8" s="15" t="b">
        <x:v>0</x:v>
      </x:c>
      <x:c r="BJ8" s="14"/>
      <x:c r="BK8" s="14" t="n">
        <x:v>6</x:v>
      </x:c>
      <x:c r="BL8" s="14" t="n">
        <x:v>2</x:v>
      </x:c>
      <x:c r="BM8" s="14" t="n">
        <x:v>6</x:v>
      </x:c>
      <x:c r="BN8" s="14"/>
      <x:c r="BO8" s="14"/>
    </x:row>
    <x:row r="9" ht="58" customHeight="1">
      <x:c r="A9" s="22" t="str">
        <x:v>motherboard-asrock-b650m-pro-rs-wifi</x:v>
      </x:c>
      <x:c r="B9" s="14" t="str">
        <x:v>ASRock</x:v>
      </x:c>
      <x:c r="C9" s="14" t="str">
        <x:v>B650M Pro RS WiFi</x:v>
      </x:c>
      <x:c r="D9" s="14" t="str">
        <x:v>ASRock B650M Pro RS WiFi</x:v>
      </x:c>
      <x:c r="E9" s="22"/>
      <x:c r="F9" s="22"/>
      <x:c r="G9" s="22" t="str">
        <x:v>B650M Pro RS WiFi</x:v>
      </x:c>
      <x:c r="H9" s="22"/>
      <x:c r="I9" s="14" t="str">
        <x:v>B650M Pro RS WiFi</x:v>
      </x:c>
      <x:c r="J9" s="14" t="str">
        <x:v>research_required</x:v>
      </x:c>
      <x:c r="K9" s="14" t="str">
        <x:v>unrated</x:v>
      </x:c>
      <x:c r="L9" s="23"/>
      <x:c r="M9" s="14" t="str">
        <x:v>メーカー公式仕様を構造化。独立検証前のため品質Tierは未評価。</x:v>
      </x:c>
      <x:c r="N9" s="14"/>
      <x:c r="O9" s="14" t="str">
        <x:v>独立レビューによるVRM温度・メモリ互換性は未確認
国内代理店・国内保証条件は未確認
BIOSバージョン別のCPU対応状況は購入前確認が必要</x:v>
      </x:c>
      <x:c r="P9" s="14" t="str">
        <x:v>一部PCIe/M.2の利用可否と速度がCPU構成で変化するためCPU別確認が必要</x:v>
      </x:c>
      <x:c r="Q9" s="14" t="str">
        <x:v>メーカー公式仕様を初期登録。ASIN・JAN・価格.com ID、国内保証は未確認です。購入監視へ採用する前に販売ページの完全型番、基板リビジョン、付属品、状態、保証を照合してください。</x:v>
      </x:c>
      <x:c r="R9" s="23"/>
      <x:c r="S9" s="14"/>
      <x:c r="T9" s="14" t="str">
        <x:v>unknown</x:v>
      </x:c>
      <x:c r="U9" s="14"/>
      <x:c r="V9" s="14" t="str">
        <x:v>AM5</x:v>
      </x:c>
      <x:c r="W9" s="24" t="str">
        <x:v>B650</x:v>
      </x:c>
      <x:c r="X9" s="14" t="str">
        <x:v>DDR5</x:v>
      </x:c>
      <x:c r="Y9" s="25" t="str">
        <x:v>Micro-ATX</x:v>
      </x:c>
      <x:c r="Z9" s="25" t="str">
        <x:v>AMD Ryzen 9000
AMD Ryzen 8000
AMD Ryzen 7000</x:v>
      </x:c>
      <x:c r="AA9" s="24" t="n">
        <x:v>4</x:v>
      </x:c>
      <x:c r="AB9" s="14" t="n">
        <x:v>256</x:v>
      </x:c>
      <x:c r="AC9" s="14"/>
      <x:c r="AD9" s="25" t="n">
        <x:v>7200</x:v>
      </x:c>
      <x:c r="AE9" s="14" t="str">
        <x:v>AMD EXPO
Intel XMP</x:v>
      </x:c>
      <x:c r="AF9" s="14" t="str">
        <x:v>ECC mode</x:v>
      </x:c>
      <x:c r="AG9" s="14" t="str">
        <x:v>8+2+1 phase power design</x:v>
      </x:c>
      <x:c r="AH9" s="14" t="n">
        <x:v>50</x:v>
      </x:c>
      <x:c r="AI9" s="14" t="str">
        <x:v>1x8-pin</x:v>
      </x:c>
      <x:c r="AJ9" s="14"/>
      <x:c r="AK9" s="14" t="n">
        <x:v>4</x:v>
      </x:c>
      <x:c r="AL9" s="14" t="n">
        <x:v>16</x:v>
      </x:c>
      <x:c r="AM9" s="14" t="n">
        <x:v>2</x:v>
      </x:c>
      <x:c r="AN9" s="14" t="n">
        <x:v>3</x:v>
      </x:c>
      <x:c r="AO9" s="14" t="n">
        <x:v>1</x:v>
      </x:c>
      <x:c r="AP9" s="14" t="n">
        <x:v>4</x:v>
      </x:c>
      <x:c r="AQ9" s="14" t="n">
        <x:v>1</x:v>
      </x:c>
      <x:c r="AR9" s="14" t="str">
        <x:v>low</x:v>
      </x:c>
      <x:c r="AS9" s="14" t="n">
        <x:v>2.5</x:v>
      </x:c>
      <x:c r="AT9" s="14" t="str">
        <x:v>Realtek RTL8125BG</x:v>
      </x:c>
      <x:c r="AU9" s="14" t="str">
        <x:v>Wi-Fi 6E</x:v>
      </x:c>
      <x:c r="AV9" s="14" t="str">
        <x:v>802.11ax Wi-Fi 6E module</x:v>
      </x:c>
      <x:c r="AW9" s="14" t="str">
        <x:v>5.2</x:v>
      </x:c>
      <x:c r="AX9" s="14" t="str">
        <x:v>Realtek ALC897</x:v>
      </x:c>
      <x:c r="AY9" s="14" t="n">
        <x:v>8</x:v>
      </x:c>
      <x:c r="AZ9" s="14" t="n">
        <x:v>7</x:v>
      </x:c>
      <x:c r="BA9" s="14" t="n">
        <x:v>1</x:v>
      </x:c>
      <x:c r="BB9" s="14" t="n">
        <x:v>10</x:v>
      </x:c>
      <x:c r="BC9" s="14" t="n">
        <x:v>0</x:v>
      </x:c>
      <x:c r="BD9" s="14" t="str">
        <x:v>USB 3.2 Gen 2 Type-C x1 / Type-A x1
USB 3.2 Gen 1 Type-A x2
USB 2.0 Type-A x4</x:v>
      </x:c>
      <x:c r="BE9" s="14" t="n">
        <x:v>1</x:v>
      </x:c>
      <x:c r="BF9" s="14" t="n">
        <x:v>5</x:v>
      </x:c>
      <x:c r="BG9" s="15" t="b">
        <x:v>1</x:v>
      </x:c>
      <x:c r="BH9" s="15" t="b">
        <x:v>0</x:v>
      </x:c>
      <x:c r="BI9" s="15" t="b">
        <x:v>0</x:v>
      </x:c>
      <x:c r="BJ9" s="14" t="str">
        <x:v>Post Status Checker (PSC)</x:v>
      </x:c>
      <x:c r="BK9" s="14" t="n">
        <x:v>5</x:v>
      </x:c>
      <x:c r="BL9" s="14" t="n">
        <x:v>4</x:v>
      </x:c>
      <x:c r="BM9" s="14" t="n">
        <x:v>6</x:v>
      </x:c>
      <x:c r="BN9" s="14"/>
      <x:c r="BO9" s="14"/>
    </x:row>
    <x:row r="10" ht="58" customHeight="1">
      <x:c r="A10" s="22" t="str">
        <x:v>motherboard-asus-tuf-gaming-z790-plus-wifi</x:v>
      </x:c>
      <x:c r="B10" s="14" t="str">
        <x:v>ASUS</x:v>
      </x:c>
      <x:c r="C10" s="14" t="str">
        <x:v>TUF GAMING Z790-PLUS WIFI</x:v>
      </x:c>
      <x:c r="D10" s="14" t="str">
        <x:v>ASUS TUF GAMING Z790-PLUS WIFI</x:v>
      </x:c>
      <x:c r="E10" s="22"/>
      <x:c r="F10" s="22"/>
      <x:c r="G10" s="22" t="str">
        <x:v>TUF GAMING Z790-PLUS WIFI</x:v>
      </x:c>
      <x:c r="H10" s="22"/>
      <x:c r="I10" s="14" t="str">
        <x:v>TUF GAMING Z790-PLUS WIFI</x:v>
      </x:c>
      <x:c r="J10" s="14" t="str">
        <x:v>research_required</x:v>
      </x:c>
      <x:c r="K10" s="14" t="str">
        <x:v>unrated</x:v>
      </x:c>
      <x:c r="L10" s="23"/>
      <x:c r="M10" s="14" t="str">
        <x:v>メーカー公式仕様を構造化。独立検証前のため品質Tierは未評価。</x:v>
      </x:c>
      <x:c r="N10" s="14"/>
      <x:c r="O10" s="14" t="str">
        <x:v>独立レビューによるVRM温度・メモリ互換性は未確認
国内代理店・国内保証条件は未確認
BIOSバージョン別のCPU対応状況は購入前確認が必要</x:v>
      </x:c>
      <x:c r="P10" s="14" t="str">
        <x:v>背面BIOS FlashBackボタン非搭載。CPU世代と初期BIOSの対応確認が必要</x:v>
      </x:c>
      <x:c r="Q10" s="14" t="str">
        <x:v>メーカー公式仕様を初期登録。ASIN・JAN・価格.com ID、国内保証は未確認です。購入監視へ採用する前に販売ページの完全型番、基板リビジョン、付属品、状態、保証を照合してください。</x:v>
      </x:c>
      <x:c r="R10" s="23"/>
      <x:c r="S10" s="14"/>
      <x:c r="T10" s="14" t="str">
        <x:v>unknown</x:v>
      </x:c>
      <x:c r="U10" s="14"/>
      <x:c r="V10" s="14" t="str">
        <x:v>LGA1700</x:v>
      </x:c>
      <x:c r="W10" s="24" t="str">
        <x:v>Z790</x:v>
      </x:c>
      <x:c r="X10" s="14" t="str">
        <x:v>DDR5</x:v>
      </x:c>
      <x:c r="Y10" s="25" t="str">
        <x:v>ATX</x:v>
      </x:c>
      <x:c r="Z10" s="25" t="str">
        <x:v>Intel Core 14th Gen
Intel Core 13th Gen
Intel Core 12th Gen</x:v>
      </x:c>
      <x:c r="AA10" s="24" t="n">
        <x:v>4</x:v>
      </x:c>
      <x:c r="AB10" s="14" t="n">
        <x:v>192</x:v>
      </x:c>
      <x:c r="AC10" s="14" t="n">
        <x:v>5600</x:v>
      </x:c>
      <x:c r="AD10" s="25" t="n">
        <x:v>7200</x:v>
      </x:c>
      <x:c r="AE10" s="14" t="str">
        <x:v>Intel XMP</x:v>
      </x:c>
      <x:c r="AF10" s="14" t="str">
        <x:v>non-ECC only</x:v>
      </x:c>
      <x:c r="AG10" s="14" t="str">
        <x:v>16+1+1 power stages</x:v>
      </x:c>
      <x:c r="AH10" s="14" t="n">
        <x:v>60</x:v>
      </x:c>
      <x:c r="AI10" s="14" t="str">
        <x:v>2x8-pin</x:v>
      </x:c>
      <x:c r="AJ10" s="14"/>
      <x:c r="AK10" s="14" t="n">
        <x:v>5</x:v>
      </x:c>
      <x:c r="AL10" s="14" t="n">
        <x:v>16</x:v>
      </x:c>
      <x:c r="AM10" s="14" t="n">
        <x:v>2</x:v>
      </x:c>
      <x:c r="AN10" s="14" t="n">
        <x:v>4</x:v>
      </x:c>
      <x:c r="AO10" s="14" t="n">
        <x:v>0</x:v>
      </x:c>
      <x:c r="AP10" s="14" t="n">
        <x:v>4</x:v>
      </x:c>
      <x:c r="AQ10" s="14" t="n">
        <x:v>3</x:v>
      </x:c>
      <x:c r="AR10" s="14" t="str">
        <x:v>none</x:v>
      </x:c>
      <x:c r="AS10" s="14" t="n">
        <x:v>2.5</x:v>
      </x:c>
      <x:c r="AT10" s="14" t="str">
        <x:v>Intel 2.5Gb Ethernet</x:v>
      </x:c>
      <x:c r="AU10" s="14" t="str">
        <x:v>Wi-Fi 6E</x:v>
      </x:c>
      <x:c r="AV10" s="14"/>
      <x:c r="AW10" s="14" t="str">
        <x:v>5.3</x:v>
      </x:c>
      <x:c r="AX10" s="14" t="str">
        <x:v>Realtek S1220A</x:v>
      </x:c>
      <x:c r="AY10" s="14" t="n">
        <x:v>8</x:v>
      </x:c>
      <x:c r="AZ10" s="14" t="n">
        <x:v>6</x:v>
      </x:c>
      <x:c r="BA10" s="14" t="n">
        <x:v>2</x:v>
      </x:c>
      <x:c r="BB10" s="14" t="n">
        <x:v>20</x:v>
      </x:c>
      <x:c r="BC10" s="14" t="n">
        <x:v>0</x:v>
      </x:c>
      <x:c r="BD10" s="14" t="str">
        <x:v>USB 3.2 Gen 2x2 Type-C x1
USB 3.2 Gen 2 Type-A x2 / Type-C x1
USB 3.2 Gen 1 Type-A x4</x:v>
      </x:c>
      <x:c r="BE10" s="14" t="n">
        <x:v>1</x:v>
      </x:c>
      <x:c r="BF10" s="14" t="n">
        <x:v>10</x:v>
      </x:c>
      <x:c r="BG10" s="15" t="b">
        <x:v>0</x:v>
      </x:c>
      <x:c r="BH10" s="15" t="b">
        <x:v>0</x:v>
      </x:c>
      <x:c r="BI10" s="15" t="b">
        <x:v>0</x:v>
      </x:c>
      <x:c r="BJ10" s="14" t="str">
        <x:v>Q-LED</x:v>
      </x:c>
      <x:c r="BK10" s="14" t="n">
        <x:v>7</x:v>
      </x:c>
      <x:c r="BL10" s="14" t="n">
        <x:v>1</x:v>
      </x:c>
      <x:c r="BM10" s="14"/>
      <x:c r="BN10" s="14"/>
      <x:c r="BO10" s="14"/>
    </x:row>
    <x:row r="11" ht="58" customHeight="1">
      <x:c r="A11" s="22" t="str">
        <x:v>motherboard-msi-mag-z790-tomahawk-wifi</x:v>
      </x:c>
      <x:c r="B11" s="14" t="str">
        <x:v>MSI</x:v>
      </x:c>
      <x:c r="C11" s="14" t="str">
        <x:v>MAG Z790 TOMAHAWK WIFI</x:v>
      </x:c>
      <x:c r="D11" s="14" t="str">
        <x:v>MSI MAG Z790 TOMAHAWK WIFI</x:v>
      </x:c>
      <x:c r="E11" s="22"/>
      <x:c r="F11" s="22"/>
      <x:c r="G11" s="22" t="str">
        <x:v>MAG Z790 TOMAHAWK WIFI</x:v>
      </x:c>
      <x:c r="H11" s="22"/>
      <x:c r="I11" s="14" t="str">
        <x:v>MAG Z790 TOMAHAWK WIFI</x:v>
      </x:c>
      <x:c r="J11" s="14" t="str">
        <x:v>research_required</x:v>
      </x:c>
      <x:c r="K11" s="14" t="str">
        <x:v>unrated</x:v>
      </x:c>
      <x:c r="L11" s="23"/>
      <x:c r="M11" s="14" t="str">
        <x:v>メーカー公式仕様を構造化。独立検証前のため品質Tierは未評価。</x:v>
      </x:c>
      <x:c r="N11" s="14"/>
      <x:c r="O11" s="14" t="str">
        <x:v>独立レビューによるVRM温度・メモリ互換性は未確認
国内代理店・国内保証条件は未確認
BIOSバージョン別のCPU対応状況は購入前確認が必要</x:v>
      </x:c>
      <x:c r="P11" s="14" t="str">
        <x:v>SATA_A1/A2はRAID非対応。ストレージ構成時は対象ポートを区別する必要がある</x:v>
      </x:c>
      <x:c r="Q11" s="14" t="str">
        <x:v>メーカー公式仕様を初期登録。ASIN・JAN・価格.com ID、国内保証は未確認です。購入監視へ採用する前に販売ページの完全型番、基板リビジョン、付属品、状態、保証を照合してください。</x:v>
      </x:c>
      <x:c r="R11" s="23"/>
      <x:c r="S11" s="14"/>
      <x:c r="T11" s="14" t="str">
        <x:v>unknown</x:v>
      </x:c>
      <x:c r="U11" s="14"/>
      <x:c r="V11" s="14" t="str">
        <x:v>LGA1700</x:v>
      </x:c>
      <x:c r="W11" s="24" t="str">
        <x:v>Z790</x:v>
      </x:c>
      <x:c r="X11" s="14" t="str">
        <x:v>DDR5</x:v>
      </x:c>
      <x:c r="Y11" s="25" t="str">
        <x:v>ATX</x:v>
      </x:c>
      <x:c r="Z11" s="25" t="str">
        <x:v>Intel Core 14th Gen
Intel Core 13th Gen
Intel Core 12th Gen</x:v>
      </x:c>
      <x:c r="AA11" s="24" t="n">
        <x:v>4</x:v>
      </x:c>
      <x:c r="AB11" s="14" t="n">
        <x:v>256</x:v>
      </x:c>
      <x:c r="AC11" s="14" t="n">
        <x:v>5600</x:v>
      </x:c>
      <x:c r="AD11" s="25" t="n">
        <x:v>7200</x:v>
      </x:c>
      <x:c r="AE11" s="14" t="str">
        <x:v>Intel XMP 3.0</x:v>
      </x:c>
      <x:c r="AF11" s="14" t="str">
        <x:v>non-ECC only</x:v>
      </x:c>
      <x:c r="AG11" s="14" t="str">
        <x:v>16+1+1 Duet Rail Power System</x:v>
      </x:c>
      <x:c r="AH11" s="14" t="n">
        <x:v>90</x:v>
      </x:c>
      <x:c r="AI11" s="14" t="str">
        <x:v>2x8-pin</x:v>
      </x:c>
      <x:c r="AJ11" s="14"/>
      <x:c r="AK11" s="14" t="n">
        <x:v>5</x:v>
      </x:c>
      <x:c r="AL11" s="14" t="n">
        <x:v>16</x:v>
      </x:c>
      <x:c r="AM11" s="14" t="n">
        <x:v>2</x:v>
      </x:c>
      <x:c r="AN11" s="14" t="n">
        <x:v>4</x:v>
      </x:c>
      <x:c r="AO11" s="14" t="n">
        <x:v>0</x:v>
      </x:c>
      <x:c r="AP11" s="14" t="n">
        <x:v>7</x:v>
      </x:c>
      <x:c r="AQ11" s="14" t="n">
        <x:v>4</x:v>
      </x:c>
      <x:c r="AR11" s="14" t="str">
        <x:v>none</x:v>
      </x:c>
      <x:c r="AS11" s="14" t="n">
        <x:v>2.5</x:v>
      </x:c>
      <x:c r="AT11" s="14" t="str">
        <x:v>Intel 2.5Gb Ethernet</x:v>
      </x:c>
      <x:c r="AU11" s="14" t="str">
        <x:v>Wi-Fi 6E</x:v>
      </x:c>
      <x:c r="AV11" s="14" t="str">
        <x:v>Intel Wi-Fi 6E module</x:v>
      </x:c>
      <x:c r="AW11" s="14" t="str">
        <x:v>5.3</x:v>
      </x:c>
      <x:c r="AX11" s="14" t="str">
        <x:v>Realtek ALC4080</x:v>
      </x:c>
      <x:c r="AY11" s="14" t="n">
        <x:v>10</x:v>
      </x:c>
      <x:c r="AZ11" s="14" t="n">
        <x:v>8</x:v>
      </x:c>
      <x:c r="BA11" s="14" t="n">
        <x:v>2</x:v>
      </x:c>
      <x:c r="BB11" s="14" t="n">
        <x:v>20</x:v>
      </x:c>
      <x:c r="BC11" s="14" t="n">
        <x:v>0</x:v>
      </x:c>
      <x:c r="BD11" s="14" t="str">
        <x:v>USB 3.2 Gen 2x2 Type-C x1
USB 3.2 Gen 2 Type-A x4 / Type-C x1
USB 3.2 Gen 1 Type-A x4</x:v>
      </x:c>
      <x:c r="BE11" s="14" t="n">
        <x:v>1</x:v>
      </x:c>
      <x:c r="BF11" s="14" t="n">
        <x:v>10</x:v>
      </x:c>
      <x:c r="BG11" s="15" t="b">
        <x:v>1</x:v>
      </x:c>
      <x:c r="BH11" s="15" t="b">
        <x:v>1</x:v>
      </x:c>
      <x:c r="BI11" s="15" t="b">
        <x:v>0</x:v>
      </x:c>
      <x:c r="BJ11" s="14" t="str">
        <x:v>4x EZ Debug LED</x:v>
      </x:c>
      <x:c r="BK11" s="14" t="n">
        <x:v>8</x:v>
      </x:c>
      <x:c r="BL11" s="14" t="n">
        <x:v>1</x:v>
      </x:c>
      <x:c r="BM11" s="14" t="n">
        <x:v>6</x:v>
      </x:c>
      <x:c r="BN11" s="14"/>
      <x:c r="BO11" s="14"/>
    </x:row>
    <x:row r="12" ht="58" customHeight="1">
      <x:c r="A12" s="22" t="str">
        <x:v>motherboard-gigabyte-z890-aorus-elite-wifi7-rev-10</x:v>
      </x:c>
      <x:c r="B12" s="14" t="str">
        <x:v>GIGABYTE</x:v>
      </x:c>
      <x:c r="C12" s="14" t="str">
        <x:v>Z890 AORUS ELITE WIFI7 (rev. 1.0)</x:v>
      </x:c>
      <x:c r="D12" s="14" t="str">
        <x:v>GIGABYTE Z890 AORUS ELITE WIFI7 rev. 1.0</x:v>
      </x:c>
      <x:c r="E12" s="22"/>
      <x:c r="F12" s="22"/>
      <x:c r="G12" s="22" t="str">
        <x:v>Z890 AORUS ELITE WIFI7 (rev. 1.0)</x:v>
      </x:c>
      <x:c r="H12" s="22"/>
      <x:c r="I12" s="14" t="str">
        <x:v>Z890 AORUS ELITE WIFI7 (rev. 1.0)</x:v>
      </x:c>
      <x:c r="J12" s="14" t="str">
        <x:v>research_required</x:v>
      </x:c>
      <x:c r="K12" s="14" t="str">
        <x:v>unrated</x:v>
      </x:c>
      <x:c r="L12" s="23"/>
      <x:c r="M12" s="14" t="str">
        <x:v>メーカー公式仕様を構造化。独立検証前のため品質Tierは未評価。</x:v>
      </x:c>
      <x:c r="N12" s="14"/>
      <x:c r="O12" s="14" t="str">
        <x:v>独立レビューによるVRM温度・メモリ互換性は未確認
国内代理店・国内保証条件は未確認
BIOSバージョン別のCPU対応状況は購入前確認が必要</x:v>
      </x:c>
      <x:c r="P12" s="14" t="str">
        <x:v>rev. 1.0とrev. 1.1で無線LANコントローラーが異なる。USB4とThunderboltの速度表記も区別が必要</x:v>
      </x:c>
      <x:c r="Q12" s="14" t="str">
        <x:v>メーカー公式仕様を初期登録。ASIN・JAN・価格.com ID、国内保証は未確認です。購入監視へ採用する前に販売ページの完全型番、基板リビジョン、付属品、状態、保証を照合してください。</x:v>
      </x:c>
      <x:c r="R12" s="23"/>
      <x:c r="S12" s="14"/>
      <x:c r="T12" s="14" t="str">
        <x:v>unknown</x:v>
      </x:c>
      <x:c r="U12" s="14" t="str">
        <x:v>1.0</x:v>
      </x:c>
      <x:c r="V12" s="14" t="str">
        <x:v>LGA1851</x:v>
      </x:c>
      <x:c r="W12" s="24" t="str">
        <x:v>Z890</x:v>
      </x:c>
      <x:c r="X12" s="14" t="str">
        <x:v>DDR5</x:v>
      </x:c>
      <x:c r="Y12" s="25" t="str">
        <x:v>ATX</x:v>
      </x:c>
      <x:c r="Z12" s="25" t="str">
        <x:v>Intel Core Ultra Processors (Series 2)</x:v>
      </x:c>
      <x:c r="AA12" s="24" t="n">
        <x:v>4</x:v>
      </x:c>
      <x:c r="AB12" s="14" t="n">
        <x:v>256</x:v>
      </x:c>
      <x:c r="AC12" s="14" t="n">
        <x:v>6400</x:v>
      </x:c>
      <x:c r="AD12" s="25" t="n">
        <x:v>9200</x:v>
      </x:c>
      <x:c r="AE12" s="14" t="str">
        <x:v>Intel XMP</x:v>
      </x:c>
      <x:c r="AF12" s="14" t="str">
        <x:v>ECC DIMM accepted in non-ECC mode</x:v>
      </x:c>
      <x:c r="AG12" s="14" t="str">
        <x:v>16+1+2 phases digital VRM</x:v>
      </x:c>
      <x:c r="AH12" s="14" t="n">
        <x:v>80</x:v>
      </x:c>
      <x:c r="AI12" s="14" t="str">
        <x:v>2x8-pin</x:v>
      </x:c>
      <x:c r="AJ12" s="14"/>
      <x:c r="AK12" s="14" t="n">
        <x:v>5</x:v>
      </x:c>
      <x:c r="AL12" s="14" t="n">
        <x:v>16</x:v>
      </x:c>
      <x:c r="AM12" s="14" t="n">
        <x:v>3</x:v>
      </x:c>
      <x:c r="AN12" s="14" t="n">
        <x:v>4</x:v>
      </x:c>
      <x:c r="AO12" s="14" t="n">
        <x:v>1</x:v>
      </x:c>
      <x:c r="AP12" s="14" t="n">
        <x:v>4</x:v>
      </x:c>
      <x:c r="AQ12" s="14" t="n">
        <x:v>4</x:v>
      </x:c>
      <x:c r="AR12" s="14" t="str">
        <x:v>low</x:v>
      </x:c>
      <x:c r="AS12" s="14" t="n">
        <x:v>2.5</x:v>
      </x:c>
      <x:c r="AT12" s="14" t="str">
        <x:v>Realtek 2.5Gb Ethernet</x:v>
      </x:c>
      <x:c r="AU12" s="14" t="str">
        <x:v>Wi-Fi 7</x:v>
      </x:c>
      <x:c r="AV12" s="14" t="str">
        <x:v>MediaTek MT7925</x:v>
      </x:c>
      <x:c r="AW12" s="14" t="str">
        <x:v>5.4</x:v>
      </x:c>
      <x:c r="AX12" s="14" t="str">
        <x:v>Realtek ALC1220</x:v>
      </x:c>
      <x:c r="AY12" s="14" t="n">
        <x:v>10</x:v>
      </x:c>
      <x:c r="AZ12" s="14" t="n">
        <x:v>9</x:v>
      </x:c>
      <x:c r="BA12" s="14" t="n">
        <x:v>1</x:v>
      </x:c>
      <x:c r="BB12" s="14" t="n">
        <x:v>20</x:v>
      </x:c>
      <x:c r="BC12" s="14" t="n">
        <x:v>1</x:v>
      </x:c>
      <x:c r="BD12" s="14" t="str">
        <x:v>Thunderbolt 4 / USB4 Type-C x1（USB4 20Gbps、Thunderbolt 40Gbps）
USB 3.2 Gen 2 Type-A x2
USB 3.2 Gen 1 Type-A x3
USB 2.0 Type-A x4</x:v>
      </x:c>
      <x:c r="BE12" s="14" t="n">
        <x:v>1</x:v>
      </x:c>
      <x:c r="BF12" s="14" t="n">
        <x:v>10</x:v>
      </x:c>
      <x:c r="BG12" s="15" t="b">
        <x:v>1</x:v>
      </x:c>
      <x:c r="BH12" s="15" t="b">
        <x:v>0</x:v>
      </x:c>
      <x:c r="BI12" s="15" t="b">
        <x:v>0</x:v>
      </x:c>
      <x:c r="BJ12" s="14" t="str">
        <x:v>Debug LEDs</x:v>
      </x:c>
      <x:c r="BK12" s="14" t="n">
        <x:v>6</x:v>
      </x:c>
      <x:c r="BL12" s="14" t="n">
        <x:v>2</x:v>
      </x:c>
      <x:c r="BM12" s="14"/>
      <x:c r="BN12" s="14"/>
      <x:c r="BO12" s="14"/>
    </x:row>
    <x:row r="13" ht="58" customHeight="1">
      <x:c r="A13" s="22" t="str">
        <x:v>motherboard-gigabyte-z890-aorus-elite-wifi7-rev-11</x:v>
      </x:c>
      <x:c r="B13" s="14" t="str">
        <x:v>GIGABYTE</x:v>
      </x:c>
      <x:c r="C13" s="14" t="str">
        <x:v>Z890 AORUS ELITE WIFI7 (rev. 1.1)</x:v>
      </x:c>
      <x:c r="D13" s="14" t="str">
        <x:v>GIGABYTE Z890 AORUS ELITE WIFI7 rev. 1.1</x:v>
      </x:c>
      <x:c r="E13" s="22"/>
      <x:c r="F13" s="22"/>
      <x:c r="G13" s="22" t="str">
        <x:v>Z890 AORUS ELITE WIFI7 (rev. 1.1)</x:v>
      </x:c>
      <x:c r="H13" s="22"/>
      <x:c r="I13" s="14" t="str">
        <x:v>Z890 AORUS ELITE WIFI7 (rev. 1.1)</x:v>
      </x:c>
      <x:c r="J13" s="14" t="str">
        <x:v>research_required</x:v>
      </x:c>
      <x:c r="K13" s="14" t="str">
        <x:v>unrated</x:v>
      </x:c>
      <x:c r="L13" s="23"/>
      <x:c r="M13" s="14" t="str">
        <x:v>メーカー公式仕様を構造化。独立検証前のため品質Tierは未評価。</x:v>
      </x:c>
      <x:c r="N13" s="14"/>
      <x:c r="O13" s="14" t="str">
        <x:v>独立レビューによるVRM温度・メモリ互換性は未確認
国内代理店・国内保証条件は未確認
BIOSバージョン別のCPU対応状況は購入前確認が必要</x:v>
      </x:c>
      <x:c r="P13" s="14" t="str">
        <x:v>rev. 1.0とrev. 1.1で無線LANコントローラーが異なる。USB4とThunderboltの速度表記も区別が必要</x:v>
      </x:c>
      <x:c r="Q13" s="14" t="str">
        <x:v>メーカー公式仕様を初期登録。ASIN・JAN・価格.com ID、国内保証は未確認です。購入監視へ採用する前に販売ページの完全型番、基板リビジョン、付属品、状態、保証を照合してください。</x:v>
      </x:c>
      <x:c r="R13" s="23"/>
      <x:c r="S13" s="14"/>
      <x:c r="T13" s="14" t="str">
        <x:v>unknown</x:v>
      </x:c>
      <x:c r="U13" s="14" t="str">
        <x:v>1.1</x:v>
      </x:c>
      <x:c r="V13" s="14" t="str">
        <x:v>LGA1851</x:v>
      </x:c>
      <x:c r="W13" s="24" t="str">
        <x:v>Z890</x:v>
      </x:c>
      <x:c r="X13" s="14" t="str">
        <x:v>DDR5</x:v>
      </x:c>
      <x:c r="Y13" s="25" t="str">
        <x:v>ATX</x:v>
      </x:c>
      <x:c r="Z13" s="25" t="str">
        <x:v>Intel Core Ultra Processors (Series 2)</x:v>
      </x:c>
      <x:c r="AA13" s="24" t="n">
        <x:v>4</x:v>
      </x:c>
      <x:c r="AB13" s="14" t="n">
        <x:v>256</x:v>
      </x:c>
      <x:c r="AC13" s="14" t="n">
        <x:v>6400</x:v>
      </x:c>
      <x:c r="AD13" s="25" t="n">
        <x:v>9200</x:v>
      </x:c>
      <x:c r="AE13" s="14" t="str">
        <x:v>Intel XMP</x:v>
      </x:c>
      <x:c r="AF13" s="14" t="str">
        <x:v>ECC DIMM accepted in non-ECC mode</x:v>
      </x:c>
      <x:c r="AG13" s="14" t="str">
        <x:v>16+1+2 phases digital VRM</x:v>
      </x:c>
      <x:c r="AH13" s="14" t="n">
        <x:v>80</x:v>
      </x:c>
      <x:c r="AI13" s="14" t="str">
        <x:v>2x8-pin</x:v>
      </x:c>
      <x:c r="AJ13" s="14"/>
      <x:c r="AK13" s="14" t="n">
        <x:v>5</x:v>
      </x:c>
      <x:c r="AL13" s="14" t="n">
        <x:v>16</x:v>
      </x:c>
      <x:c r="AM13" s="14" t="n">
        <x:v>3</x:v>
      </x:c>
      <x:c r="AN13" s="14" t="n">
        <x:v>4</x:v>
      </x:c>
      <x:c r="AO13" s="14" t="n">
        <x:v>1</x:v>
      </x:c>
      <x:c r="AP13" s="14" t="n">
        <x:v>4</x:v>
      </x:c>
      <x:c r="AQ13" s="14" t="n">
        <x:v>4</x:v>
      </x:c>
      <x:c r="AR13" s="14" t="str">
        <x:v>low</x:v>
      </x:c>
      <x:c r="AS13" s="14" t="n">
        <x:v>2.5</x:v>
      </x:c>
      <x:c r="AT13" s="14" t="str">
        <x:v>Realtek 2.5Gb Ethernet</x:v>
      </x:c>
      <x:c r="AU13" s="14" t="str">
        <x:v>Wi-Fi 7</x:v>
      </x:c>
      <x:c r="AV13" s="14" t="str">
        <x:v>Realtek RTL8922AE</x:v>
      </x:c>
      <x:c r="AW13" s="14" t="str">
        <x:v>5.4</x:v>
      </x:c>
      <x:c r="AX13" s="14" t="str">
        <x:v>Realtek ALC1220</x:v>
      </x:c>
      <x:c r="AY13" s="14" t="n">
        <x:v>10</x:v>
      </x:c>
      <x:c r="AZ13" s="14" t="n">
        <x:v>9</x:v>
      </x:c>
      <x:c r="BA13" s="14" t="n">
        <x:v>1</x:v>
      </x:c>
      <x:c r="BB13" s="14" t="n">
        <x:v>20</x:v>
      </x:c>
      <x:c r="BC13" s="14" t="n">
        <x:v>1</x:v>
      </x:c>
      <x:c r="BD13" s="14" t="str">
        <x:v>Thunderbolt 4 / USB4 Type-C x1（USB4 20Gbps、Thunderbolt 40Gbps）
USB 3.2 Gen 2 Type-A x2
USB 3.2 Gen 1 Type-A x3
USB 2.0 Type-A x4</x:v>
      </x:c>
      <x:c r="BE13" s="14" t="n">
        <x:v>1</x:v>
      </x:c>
      <x:c r="BF13" s="14" t="n">
        <x:v>10</x:v>
      </x:c>
      <x:c r="BG13" s="15" t="b">
        <x:v>1</x:v>
      </x:c>
      <x:c r="BH13" s="15" t="b">
        <x:v>0</x:v>
      </x:c>
      <x:c r="BI13" s="15" t="b">
        <x:v>0</x:v>
      </x:c>
      <x:c r="BJ13" s="14" t="str">
        <x:v>Debug LEDs</x:v>
      </x:c>
      <x:c r="BK13" s="14" t="n">
        <x:v>6</x:v>
      </x:c>
      <x:c r="BL13" s="14" t="n">
        <x:v>2</x:v>
      </x:c>
      <x:c r="BM13" s="14"/>
      <x:c r="BN13" s="14"/>
      <x:c r="BO13" s="14"/>
    </x:row>
    <x:row r="14" ht="58" customHeight="1">
      <x:c r="A14" s="22" t="str">
        <x:v>motherboard-asrock-z890-steel-legend-wifi</x:v>
      </x:c>
      <x:c r="B14" s="14" t="str">
        <x:v>ASRock</x:v>
      </x:c>
      <x:c r="C14" s="14" t="str">
        <x:v>Z890 Steel Legend WiFi</x:v>
      </x:c>
      <x:c r="D14" s="14" t="str">
        <x:v>ASRock Z890 Steel Legend WiFi</x:v>
      </x:c>
      <x:c r="E14" s="22"/>
      <x:c r="F14" s="22"/>
      <x:c r="G14" s="22" t="str">
        <x:v>Z890 Steel Legend WiFi</x:v>
      </x:c>
      <x:c r="H14" s="22"/>
      <x:c r="I14" s="14" t="str">
        <x:v>Z890 Steel Legend WiFi</x:v>
      </x:c>
      <x:c r="J14" s="14" t="str">
        <x:v>research_required</x:v>
      </x:c>
      <x:c r="K14" s="14" t="str">
        <x:v>unrated</x:v>
      </x:c>
      <x:c r="L14" s="23"/>
      <x:c r="M14" s="14" t="str">
        <x:v>メーカー公式仕様を構造化。独立検証前のため品質Tierは未評価。</x:v>
      </x:c>
      <x:c r="N14" s="14"/>
      <x:c r="O14" s="14" t="str">
        <x:v>独立レビューによるVRM温度・メモリ互換性は未確認
国内代理店・国内保証条件は未確認
BIOSバージョン別のCPU対応状況は購入前確認が必要</x:v>
      </x:c>
      <x:c r="P14" s="14" t="str">
        <x:v>Thunderbolt映像出力にはCPU内蔵GPUなど構成条件がある。Windows 11でのWi-Fi 7要件も確認が必要</x:v>
      </x:c>
      <x:c r="Q14" s="14" t="str">
        <x:v>メーカー公式仕様を初期登録。ASIN・JAN・価格.com ID、国内保証は未確認です。購入監視へ採用する前に販売ページの完全型番、基板リビジョン、付属品、状態、保証を照合してください。</x:v>
      </x:c>
      <x:c r="R14" s="23"/>
      <x:c r="S14" s="14"/>
      <x:c r="T14" s="14" t="str">
        <x:v>unknown</x:v>
      </x:c>
      <x:c r="U14" s="14"/>
      <x:c r="V14" s="14" t="str">
        <x:v>LGA1851</x:v>
      </x:c>
      <x:c r="W14" s="24" t="str">
        <x:v>Z890</x:v>
      </x:c>
      <x:c r="X14" s="14" t="str">
        <x:v>DDR5</x:v>
      </x:c>
      <x:c r="Y14" s="25" t="str">
        <x:v>ATX</x:v>
      </x:c>
      <x:c r="Z14" s="25" t="str">
        <x:v>Intel Core Ultra Processors (Series 2)</x:v>
      </x:c>
      <x:c r="AA14" s="24" t="n">
        <x:v>4</x:v>
      </x:c>
      <x:c r="AB14" s="14" t="n">
        <x:v>256</x:v>
      </x:c>
      <x:c r="AC14" s="14" t="n">
        <x:v>5600</x:v>
      </x:c>
      <x:c r="AD14" s="25" t="n">
        <x:v>9466</x:v>
      </x:c>
      <x:c r="AE14" s="14" t="str">
        <x:v>Intel XMP 3.0</x:v>
      </x:c>
      <x:c r="AF14" s="14" t="str">
        <x:v>non-ECC only</x:v>
      </x:c>
      <x:c r="AG14" s="14" t="str">
        <x:v>18+1+1+1+1 phase power design</x:v>
      </x:c>
      <x:c r="AH14" s="14" t="n">
        <x:v>80</x:v>
      </x:c>
      <x:c r="AI14" s="14" t="str">
        <x:v>2x8-pin</x:v>
      </x:c>
      <x:c r="AJ14" s="14"/>
      <x:c r="AK14" s="14" t="n">
        <x:v>5</x:v>
      </x:c>
      <x:c r="AL14" s="14" t="n">
        <x:v>16</x:v>
      </x:c>
      <x:c r="AM14" s="14" t="n">
        <x:v>2</x:v>
      </x:c>
      <x:c r="AN14" s="14" t="n">
        <x:v>4</x:v>
      </x:c>
      <x:c r="AO14" s="14" t="n">
        <x:v>1</x:v>
      </x:c>
      <x:c r="AP14" s="14" t="n">
        <x:v>4</x:v>
      </x:c>
      <x:c r="AQ14" s="14" t="n">
        <x:v>3</x:v>
      </x:c>
      <x:c r="AR14" s="14" t="str">
        <x:v>none</x:v>
      </x:c>
      <x:c r="AS14" s="14" t="n">
        <x:v>2.5</x:v>
      </x:c>
      <x:c r="AT14" s="14" t="str">
        <x:v>Realtek RTL8125BG</x:v>
      </x:c>
      <x:c r="AU14" s="14" t="str">
        <x:v>Wi-Fi 7</x:v>
      </x:c>
      <x:c r="AV14" s="14" t="str">
        <x:v>Intel Wi-Fi 7 module</x:v>
      </x:c>
      <x:c r="AW14" s="14" t="str">
        <x:v>5.4</x:v>
      </x:c>
      <x:c r="AX14" s="14" t="str">
        <x:v>Realtek ALC1220</x:v>
      </x:c>
      <x:c r="AY14" s="14" t="n">
        <x:v>10</x:v>
      </x:c>
      <x:c r="AZ14" s="14" t="n">
        <x:v>8</x:v>
      </x:c>
      <x:c r="BA14" s="14" t="n">
        <x:v>2</x:v>
      </x:c>
      <x:c r="BB14" s="14" t="n">
        <x:v>40</x:v>
      </x:c>
      <x:c r="BC14" s="14" t="n">
        <x:v>2</x:v>
      </x:c>
      <x:c r="BD14" s="14" t="str">
        <x:v>Thunderbolt 4 / USB4 Type-C x2（40Gbps）
USB 3.2 Gen 2 Type-A x2
USB 3.2 Gen 1 Type-A x4
USB 2.0 Type-A x2</x:v>
      </x:c>
      <x:c r="BE14" s="14" t="n">
        <x:v>1</x:v>
      </x:c>
      <x:c r="BF14" s="14" t="n">
        <x:v>20</x:v>
      </x:c>
      <x:c r="BG14" s="15" t="b">
        <x:v>1</x:v>
      </x:c>
      <x:c r="BH14" s="15" t="b">
        <x:v>0</x:v>
      </x:c>
      <x:c r="BI14" s="15" t="b">
        <x:v>0</x:v>
      </x:c>
      <x:c r="BJ14" s="14" t="str">
        <x:v>Post Status Checker (PSC)</x:v>
      </x:c>
      <x:c r="BK14" s="14" t="n">
        <x:v>8</x:v>
      </x:c>
      <x:c r="BL14" s="14" t="n">
        <x:v>7</x:v>
      </x:c>
      <x:c r="BM14" s="14"/>
      <x:c r="BN14" s="14"/>
      <x:c r="BO14" s="14"/>
    </x:row>
    <x:row r="15" ht="58" customHeight="1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3"/>
      <x:c r="S15" s="14"/>
      <x:c r="T15" s="14"/>
      <x:c r="U15" s="14"/>
      <x:c r="V15" s="14"/>
      <x:c r="W15" s="24"/>
      <x:c r="X15" s="14"/>
      <x:c r="Y15" s="25"/>
      <x:c r="Z15" s="25"/>
      <x:c r="AA15" s="24"/>
      <x:c r="AB15" s="14"/>
      <x:c r="AC15" s="14"/>
      <x:c r="AD15" s="25"/>
      <x:c r="AE15" s="14"/>
      <x:c r="AF15" s="14"/>
      <x:c r="AG15" s="14"/>
      <x:c r="AH15" s="14"/>
      <x:c r="AI15" s="14"/>
      <x:c r="AJ15" s="14"/>
      <x:c r="AK15" s="14"/>
      <x:c r="AL15" s="14"/>
      <x:c r="AM15" s="14"/>
      <x:c r="AN15" s="14"/>
      <x:c r="AO15" s="14"/>
      <x:c r="AP15" s="14"/>
      <x:c r="AQ15" s="14"/>
      <x:c r="AR15" s="14"/>
      <x:c r="AS15" s="14"/>
      <x:c r="AT15" s="14"/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/>
      <x:c r="BE15" s="14"/>
      <x:c r="BF15" s="14"/>
      <x:c r="BG15" s="14"/>
      <x:c r="BH15" s="14"/>
      <x:c r="BI15" s="14"/>
      <x:c r="BJ15" s="14"/>
      <x:c r="BK15" s="14"/>
      <x:c r="BL15" s="14"/>
      <x:c r="BM15" s="14"/>
      <x:c r="BN15" s="14"/>
      <x:c r="BO15" s="14"/>
    </x:row>
    <x:row r="16" ht="58" customHeight="1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3"/>
      <x:c r="S16" s="14"/>
      <x:c r="T16" s="14"/>
      <x:c r="U16" s="14"/>
      <x:c r="V16" s="14"/>
      <x:c r="W16" s="24"/>
      <x:c r="X16" s="14"/>
      <x:c r="Y16" s="25"/>
      <x:c r="Z16" s="25"/>
      <x:c r="AA16" s="24"/>
      <x:c r="AB16" s="14"/>
      <x:c r="AC16" s="14"/>
      <x:c r="AD16" s="25"/>
      <x:c r="AE16" s="14"/>
      <x:c r="AF16" s="14"/>
      <x:c r="AG16" s="14"/>
      <x:c r="AH16" s="14"/>
      <x:c r="AI16" s="14"/>
      <x:c r="AJ16" s="14"/>
      <x:c r="AK16" s="14"/>
      <x:c r="AL16" s="14"/>
      <x:c r="AM16" s="14"/>
      <x:c r="AN16" s="14"/>
      <x:c r="AO16" s="14"/>
      <x:c r="AP16" s="14"/>
      <x:c r="AQ16" s="14"/>
      <x:c r="AR16" s="14"/>
      <x:c r="AS16" s="14"/>
      <x:c r="AT16" s="14"/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/>
      <x:c r="BE16" s="14"/>
      <x:c r="BF16" s="14"/>
      <x:c r="BG16" s="14"/>
      <x:c r="BH16" s="14"/>
      <x:c r="BI16" s="14"/>
      <x:c r="BJ16" s="14"/>
      <x:c r="BK16" s="14"/>
      <x:c r="BL16" s="14"/>
      <x:c r="BM16" s="14"/>
      <x:c r="BN16" s="14"/>
      <x:c r="BO16" s="14"/>
    </x:row>
    <x:row r="17" ht="58" customHeight="1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3"/>
      <x:c r="S17" s="14"/>
      <x:c r="T17" s="14"/>
      <x:c r="U17" s="14"/>
      <x:c r="V17" s="14"/>
      <x:c r="W17" s="24"/>
      <x:c r="X17" s="14"/>
      <x:c r="Y17" s="25"/>
      <x:c r="Z17" s="25"/>
      <x:c r="AA17" s="24"/>
      <x:c r="AB17" s="14"/>
      <x:c r="AC17" s="14"/>
      <x:c r="AD17" s="25"/>
      <x:c r="AE17" s="14"/>
      <x:c r="AF17" s="14"/>
      <x:c r="AG17" s="14"/>
      <x:c r="AH17" s="14"/>
      <x:c r="AI17" s="14"/>
      <x:c r="AJ17" s="14"/>
      <x:c r="AK17" s="14"/>
      <x:c r="AL17" s="14"/>
      <x:c r="AM17" s="14"/>
      <x:c r="AN17" s="14"/>
      <x:c r="AO17" s="14"/>
      <x:c r="AP17" s="14"/>
      <x:c r="AQ17" s="14"/>
      <x:c r="AR17" s="14"/>
      <x:c r="AS17" s="14"/>
      <x:c r="AT17" s="14"/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/>
      <x:c r="BE17" s="14"/>
      <x:c r="BF17" s="14"/>
      <x:c r="BG17" s="14"/>
      <x:c r="BH17" s="14"/>
      <x:c r="BI17" s="14"/>
      <x:c r="BJ17" s="14"/>
      <x:c r="BK17" s="14"/>
      <x:c r="BL17" s="14"/>
      <x:c r="BM17" s="14"/>
      <x:c r="BN17" s="14"/>
      <x:c r="BO17" s="14"/>
    </x:row>
    <x:row r="18" ht="58" customHeight="1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3"/>
      <x:c r="S18" s="14"/>
      <x:c r="T18" s="14"/>
      <x:c r="U18" s="14"/>
      <x:c r="V18" s="14"/>
      <x:c r="W18" s="24"/>
      <x:c r="X18" s="14"/>
      <x:c r="Y18" s="25"/>
      <x:c r="Z18" s="25"/>
      <x:c r="AA18" s="24"/>
      <x:c r="AB18" s="14"/>
      <x:c r="AC18" s="14"/>
      <x:c r="AD18" s="25"/>
      <x:c r="AE18" s="14"/>
      <x:c r="AF18" s="14"/>
      <x:c r="AG18" s="14"/>
      <x:c r="AH18" s="14"/>
      <x:c r="AI18" s="14"/>
      <x:c r="AJ18" s="14"/>
      <x:c r="AK18" s="14"/>
      <x:c r="AL18" s="14"/>
      <x:c r="AM18" s="14"/>
      <x:c r="AN18" s="14"/>
      <x:c r="AO18" s="14"/>
      <x:c r="AP18" s="14"/>
      <x:c r="AQ18" s="14"/>
      <x:c r="AR18" s="14"/>
      <x:c r="AS18" s="14"/>
      <x:c r="AT18" s="14"/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/>
      <x:c r="BE18" s="14"/>
      <x:c r="BF18" s="14"/>
      <x:c r="BG18" s="14"/>
      <x:c r="BH18" s="14"/>
      <x:c r="BI18" s="14"/>
      <x:c r="BJ18" s="14"/>
      <x:c r="BK18" s="14"/>
      <x:c r="BL18" s="14"/>
      <x:c r="BM18" s="14"/>
      <x:c r="BN18" s="14"/>
      <x:c r="BO18" s="14"/>
    </x:row>
    <x:row r="19" ht="58" customHeight="1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3"/>
      <x:c r="S19" s="14"/>
      <x:c r="T19" s="14"/>
      <x:c r="U19" s="14"/>
      <x:c r="V19" s="14"/>
      <x:c r="W19" s="24"/>
      <x:c r="X19" s="14"/>
      <x:c r="Y19" s="25"/>
      <x:c r="Z19" s="25"/>
      <x:c r="AA19" s="24"/>
      <x:c r="AB19" s="14"/>
      <x:c r="AC19" s="14"/>
      <x:c r="AD19" s="25"/>
      <x:c r="AE19" s="14"/>
      <x:c r="AF19" s="14"/>
      <x:c r="AG19" s="14"/>
      <x:c r="AH19" s="14"/>
      <x:c r="AI19" s="14"/>
      <x:c r="AJ19" s="14"/>
      <x:c r="AK19" s="14"/>
      <x:c r="AL19" s="14"/>
      <x:c r="AM19" s="14"/>
      <x:c r="AN19" s="14"/>
      <x:c r="AO19" s="14"/>
      <x:c r="AP19" s="14"/>
      <x:c r="AQ19" s="14"/>
      <x:c r="AR19" s="14"/>
      <x:c r="AS19" s="14"/>
      <x:c r="AT19" s="14"/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/>
      <x:c r="BE19" s="14"/>
      <x:c r="BF19" s="14"/>
      <x:c r="BG19" s="14"/>
      <x:c r="BH19" s="14"/>
      <x:c r="BI19" s="14"/>
      <x:c r="BJ19" s="14"/>
      <x:c r="BK19" s="14"/>
      <x:c r="BL19" s="14"/>
      <x:c r="BM19" s="14"/>
      <x:c r="BN19" s="14"/>
      <x:c r="BO19" s="14"/>
    </x:row>
    <x:row r="20" ht="58" customHeight="1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3"/>
      <x:c r="S20" s="14"/>
      <x:c r="T20" s="14"/>
      <x:c r="U20" s="14"/>
      <x:c r="V20" s="14"/>
      <x:c r="W20" s="24"/>
      <x:c r="X20" s="14"/>
      <x:c r="Y20" s="25"/>
      <x:c r="Z20" s="25"/>
      <x:c r="AA20" s="24"/>
      <x:c r="AB20" s="14"/>
      <x:c r="AC20" s="14"/>
      <x:c r="AD20" s="25"/>
      <x:c r="AE20" s="14"/>
      <x:c r="AF20" s="14"/>
      <x:c r="AG20" s="14"/>
      <x:c r="AH20" s="14"/>
      <x:c r="AI20" s="14"/>
      <x:c r="AJ20" s="14"/>
      <x:c r="AK20" s="14"/>
      <x:c r="AL20" s="14"/>
      <x:c r="AM20" s="14"/>
      <x:c r="AN20" s="14"/>
      <x:c r="AO20" s="14"/>
      <x:c r="AP20" s="14"/>
      <x:c r="AQ20" s="14"/>
      <x:c r="AR20" s="14"/>
      <x:c r="AS20" s="14"/>
      <x:c r="AT20" s="14"/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/>
      <x:c r="BE20" s="14"/>
      <x:c r="BF20" s="14"/>
      <x:c r="BG20" s="14"/>
      <x:c r="BH20" s="14"/>
      <x:c r="BI20" s="14"/>
      <x:c r="BJ20" s="14"/>
      <x:c r="BK20" s="14"/>
      <x:c r="BL20" s="14"/>
      <x:c r="BM20" s="14"/>
      <x:c r="BN20" s="14"/>
      <x:c r="BO20" s="14"/>
    </x:row>
    <x:row r="21" ht="58" customHeight="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3"/>
      <x:c r="S21" s="14"/>
      <x:c r="T21" s="14"/>
      <x:c r="U21" s="14"/>
      <x:c r="V21" s="14"/>
      <x:c r="W21" s="24"/>
      <x:c r="X21" s="14"/>
      <x:c r="Y21" s="25"/>
      <x:c r="Z21" s="25"/>
      <x:c r="AA21" s="24"/>
      <x:c r="AB21" s="14"/>
      <x:c r="AC21" s="14"/>
      <x:c r="AD21" s="25"/>
      <x:c r="AE21" s="14"/>
      <x:c r="AF21" s="14"/>
      <x:c r="AG21" s="14"/>
      <x:c r="AH21" s="14"/>
      <x:c r="AI21" s="14"/>
      <x:c r="AJ21" s="14"/>
      <x:c r="AK21" s="14"/>
      <x:c r="AL21" s="14"/>
      <x:c r="AM21" s="14"/>
      <x:c r="AN21" s="14"/>
      <x:c r="AO21" s="14"/>
      <x:c r="AP21" s="14"/>
      <x:c r="AQ21" s="14"/>
      <x:c r="AR21" s="14"/>
      <x:c r="AS21" s="14"/>
      <x:c r="AT21" s="14"/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/>
      <x:c r="BE21" s="14"/>
      <x:c r="BF21" s="14"/>
      <x:c r="BG21" s="14"/>
      <x:c r="BH21" s="14"/>
      <x:c r="BI21" s="14"/>
      <x:c r="BJ21" s="14"/>
      <x:c r="BK21" s="14"/>
      <x:c r="BL21" s="14"/>
      <x:c r="BM21" s="14"/>
      <x:c r="BN21" s="14"/>
      <x:c r="BO21" s="14"/>
    </x:row>
    <x:row r="22" ht="58" customHeight="1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3"/>
      <x:c r="S22" s="14"/>
      <x:c r="T22" s="14"/>
      <x:c r="U22" s="14"/>
      <x:c r="V22" s="14"/>
      <x:c r="W22" s="24"/>
      <x:c r="X22" s="14"/>
      <x:c r="Y22" s="25"/>
      <x:c r="Z22" s="25"/>
      <x:c r="AA22" s="24"/>
      <x:c r="AB22" s="14"/>
      <x:c r="AC22" s="14"/>
      <x:c r="AD22" s="25"/>
      <x:c r="AE22" s="14"/>
      <x:c r="AF22" s="14"/>
      <x:c r="AG22" s="14"/>
      <x:c r="AH22" s="14"/>
      <x:c r="AI22" s="14"/>
      <x:c r="AJ22" s="14"/>
      <x:c r="AK22" s="14"/>
      <x:c r="AL22" s="14"/>
      <x:c r="AM22" s="14"/>
      <x:c r="AN22" s="14"/>
      <x:c r="AO22" s="14"/>
      <x:c r="AP22" s="14"/>
      <x:c r="AQ22" s="14"/>
      <x:c r="AR22" s="14"/>
      <x:c r="AS22" s="14"/>
      <x:c r="AT22" s="14"/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/>
      <x:c r="BE22" s="14"/>
      <x:c r="BF22" s="14"/>
      <x:c r="BG22" s="14"/>
      <x:c r="BH22" s="14"/>
      <x:c r="BI22" s="14"/>
      <x:c r="BJ22" s="14"/>
      <x:c r="BK22" s="14"/>
      <x:c r="BL22" s="14"/>
      <x:c r="BM22" s="14"/>
      <x:c r="BN22" s="14"/>
      <x:c r="BO22" s="14"/>
    </x:row>
    <x:row r="23" ht="58" customHeight="1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3"/>
      <x:c r="S23" s="14"/>
      <x:c r="T23" s="14"/>
      <x:c r="U23" s="14"/>
      <x:c r="V23" s="14"/>
      <x:c r="W23" s="24"/>
      <x:c r="X23" s="14"/>
      <x:c r="Y23" s="25"/>
      <x:c r="Z23" s="25"/>
      <x:c r="AA23" s="24"/>
      <x:c r="AB23" s="14"/>
      <x:c r="AC23" s="14"/>
      <x:c r="AD23" s="25"/>
      <x:c r="AE23" s="14"/>
      <x:c r="AF23" s="14"/>
      <x:c r="AG23" s="14"/>
      <x:c r="AH23" s="14"/>
      <x:c r="AI23" s="14"/>
      <x:c r="AJ23" s="14"/>
      <x:c r="AK23" s="14"/>
      <x:c r="AL23" s="14"/>
      <x:c r="AM23" s="14"/>
      <x:c r="AN23" s="14"/>
      <x:c r="AO23" s="14"/>
      <x:c r="AP23" s="14"/>
      <x:c r="AQ23" s="14"/>
      <x:c r="AR23" s="14"/>
      <x:c r="AS23" s="14"/>
      <x:c r="AT23" s="14"/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/>
      <x:c r="BE23" s="14"/>
      <x:c r="BF23" s="14"/>
      <x:c r="BG23" s="14"/>
      <x:c r="BH23" s="14"/>
      <x:c r="BI23" s="14"/>
      <x:c r="BJ23" s="14"/>
      <x:c r="BK23" s="14"/>
      <x:c r="BL23" s="14"/>
      <x:c r="BM23" s="14"/>
      <x:c r="BN23" s="14"/>
      <x:c r="BO23" s="14"/>
    </x:row>
    <x:row r="24" ht="58" customHeight="1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3"/>
      <x:c r="S24" s="14"/>
      <x:c r="T24" s="14"/>
      <x:c r="U24" s="14"/>
      <x:c r="V24" s="14"/>
      <x:c r="W24" s="24"/>
      <x:c r="X24" s="14"/>
      <x:c r="Y24" s="25"/>
      <x:c r="Z24" s="25"/>
      <x:c r="AA24" s="24"/>
      <x:c r="AB24" s="14"/>
      <x:c r="AC24" s="14"/>
      <x:c r="AD24" s="25"/>
      <x:c r="AE24" s="14"/>
      <x:c r="AF24" s="14"/>
      <x:c r="AG24" s="14"/>
      <x:c r="AH24" s="14"/>
      <x:c r="AI24" s="14"/>
      <x:c r="AJ24" s="14"/>
      <x:c r="AK24" s="14"/>
      <x:c r="AL24" s="14"/>
      <x:c r="AM24" s="14"/>
      <x:c r="AN24" s="14"/>
      <x:c r="AO24" s="14"/>
      <x:c r="AP24" s="14"/>
      <x:c r="AQ24" s="14"/>
      <x:c r="AR24" s="14"/>
      <x:c r="AS24" s="14"/>
      <x:c r="AT24" s="14"/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/>
      <x:c r="BE24" s="14"/>
      <x:c r="BF24" s="14"/>
      <x:c r="BG24" s="14"/>
      <x:c r="BH24" s="14"/>
      <x:c r="BI24" s="14"/>
      <x:c r="BJ24" s="14"/>
      <x:c r="BK24" s="14"/>
      <x:c r="BL24" s="14"/>
      <x:c r="BM24" s="14"/>
      <x:c r="BN24" s="14"/>
      <x:c r="BO24" s="14"/>
    </x:row>
    <x:row r="25" ht="58" customHeight="1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23"/>
      <x:c r="M25" s="14"/>
      <x:c r="N25" s="14"/>
      <x:c r="O25" s="14"/>
      <x:c r="P25" s="14"/>
      <x:c r="Q25" s="14"/>
      <x:c r="R25" s="23"/>
      <x:c r="S25" s="14"/>
      <x:c r="T25" s="14"/>
      <x:c r="U25" s="14"/>
      <x:c r="V25" s="14"/>
      <x:c r="W25" s="14"/>
      <x:c r="X25" s="14"/>
      <x:c r="Y25" s="14"/>
      <x:c r="Z25" s="14"/>
      <x:c r="AA25" s="14"/>
      <x:c r="AB25" s="14"/>
      <x:c r="AC25" s="14"/>
      <x:c r="AD25" s="14"/>
      <x:c r="AE25" s="14"/>
      <x:c r="AF25" s="14"/>
      <x:c r="AG25" s="14"/>
      <x:c r="AH25" s="14"/>
      <x:c r="AI25" s="14"/>
      <x:c r="AJ25" s="14"/>
      <x:c r="AK25" s="14"/>
      <x:c r="AL25" s="14"/>
      <x:c r="AM25" s="14"/>
      <x:c r="AN25" s="14"/>
      <x:c r="AO25" s="14"/>
      <x:c r="AP25" s="14"/>
      <x:c r="AQ25" s="14"/>
      <x:c r="AR25" s="14"/>
      <x:c r="AS25" s="14"/>
      <x:c r="AT25" s="14"/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/>
      <x:c r="BE25" s="14"/>
      <x:c r="BF25" s="14"/>
      <x:c r="BG25" s="14"/>
      <x:c r="BH25" s="14"/>
      <x:c r="BI25" s="14"/>
      <x:c r="BJ25" s="14"/>
      <x:c r="BK25" s="14"/>
      <x:c r="BL25" s="14"/>
      <x:c r="BM25" s="14"/>
      <x:c r="BN25" s="14"/>
      <x:c r="BO25" s="14"/>
    </x:row>
    <x:row r="26" ht="58" customHeight="1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23"/>
      <x:c r="M26" s="14"/>
      <x:c r="N26" s="14"/>
      <x:c r="O26" s="14"/>
      <x:c r="P26" s="14"/>
      <x:c r="Q26" s="14"/>
      <x:c r="R26" s="23"/>
      <x:c r="S26" s="14"/>
      <x:c r="T26" s="14"/>
      <x:c r="U26" s="14"/>
      <x:c r="V26" s="14"/>
      <x:c r="W26" s="14"/>
      <x:c r="X26" s="14"/>
      <x:c r="Y26" s="14"/>
      <x:c r="Z26" s="14"/>
      <x:c r="AA26" s="14"/>
      <x:c r="AB26" s="14"/>
      <x:c r="AC26" s="14"/>
      <x:c r="AD26" s="14"/>
      <x:c r="AE26" s="14"/>
      <x:c r="AF26" s="14"/>
      <x:c r="AG26" s="14"/>
      <x:c r="AH26" s="14"/>
      <x:c r="AI26" s="14"/>
      <x:c r="AJ26" s="14"/>
      <x:c r="AK26" s="14"/>
      <x:c r="AL26" s="14"/>
      <x:c r="AM26" s="14"/>
      <x:c r="AN26" s="14"/>
      <x:c r="AO26" s="14"/>
      <x:c r="AP26" s="14"/>
      <x:c r="AQ26" s="14"/>
      <x:c r="AR26" s="14"/>
      <x:c r="AS26" s="14"/>
      <x:c r="AT26" s="14"/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/>
      <x:c r="BE26" s="14"/>
      <x:c r="BF26" s="14"/>
      <x:c r="BG26" s="14"/>
      <x:c r="BH26" s="14"/>
      <x:c r="BI26" s="14"/>
      <x:c r="BJ26" s="14"/>
      <x:c r="BK26" s="14"/>
      <x:c r="BL26" s="14"/>
      <x:c r="BM26" s="14"/>
      <x:c r="BN26" s="14"/>
      <x:c r="BO26" s="14"/>
    </x:row>
    <x:row r="27" ht="58" customHeight="1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23"/>
      <x:c r="M27" s="14"/>
      <x:c r="N27" s="14"/>
      <x:c r="O27" s="14"/>
      <x:c r="P27" s="14"/>
      <x:c r="Q27" s="14"/>
      <x:c r="R27" s="23"/>
      <x:c r="S27" s="14"/>
      <x:c r="T27" s="14"/>
      <x:c r="U27" s="14"/>
      <x:c r="V27" s="14"/>
      <x:c r="W27" s="14"/>
      <x:c r="X27" s="14"/>
      <x:c r="Y27" s="14"/>
      <x:c r="Z27" s="14"/>
      <x:c r="AA27" s="14"/>
      <x:c r="AB27" s="14"/>
      <x:c r="AC27" s="14"/>
      <x:c r="AD27" s="14"/>
      <x:c r="AE27" s="14"/>
      <x:c r="AF27" s="14"/>
      <x:c r="AG27" s="14"/>
      <x:c r="AH27" s="14"/>
      <x:c r="AI27" s="14"/>
      <x:c r="AJ27" s="14"/>
      <x:c r="AK27" s="14"/>
      <x:c r="AL27" s="14"/>
      <x:c r="AM27" s="14"/>
      <x:c r="AN27" s="14"/>
      <x:c r="AO27" s="14"/>
      <x:c r="AP27" s="14"/>
      <x:c r="AQ27" s="14"/>
      <x:c r="AR27" s="14"/>
      <x:c r="AS27" s="14"/>
      <x:c r="AT27" s="14"/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/>
      <x:c r="BE27" s="14"/>
      <x:c r="BF27" s="14"/>
      <x:c r="BG27" s="14"/>
      <x:c r="BH27" s="14"/>
      <x:c r="BI27" s="14"/>
      <x:c r="BJ27" s="14"/>
      <x:c r="BK27" s="14"/>
      <x:c r="BL27" s="14"/>
      <x:c r="BM27" s="14"/>
      <x:c r="BN27" s="14"/>
      <x:c r="BO27" s="14"/>
    </x:row>
    <x:row r="28" ht="58" customHeight="1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23"/>
      <x:c r="M28" s="14"/>
      <x:c r="N28" s="14"/>
      <x:c r="O28" s="14"/>
      <x:c r="P28" s="14"/>
      <x:c r="Q28" s="14"/>
      <x:c r="R28" s="23"/>
      <x:c r="S28" s="14"/>
      <x:c r="T28" s="14"/>
      <x:c r="U28" s="14"/>
      <x:c r="V28" s="14"/>
      <x:c r="W28" s="14"/>
      <x:c r="X28" s="14"/>
      <x:c r="Y28" s="14"/>
      <x:c r="Z28" s="14"/>
      <x:c r="AA28" s="14"/>
      <x:c r="AB28" s="14"/>
      <x:c r="AC28" s="14"/>
      <x:c r="AD28" s="14"/>
      <x:c r="AE28" s="14"/>
      <x:c r="AF28" s="14"/>
      <x:c r="AG28" s="14"/>
      <x:c r="AH28" s="14"/>
      <x:c r="AI28" s="14"/>
      <x:c r="AJ28" s="14"/>
      <x:c r="AK28" s="14"/>
      <x:c r="AL28" s="14"/>
      <x:c r="AM28" s="14"/>
      <x:c r="AN28" s="14"/>
      <x:c r="AO28" s="14"/>
      <x:c r="AP28" s="14"/>
      <x:c r="AQ28" s="14"/>
      <x:c r="AR28" s="14"/>
      <x:c r="AS28" s="14"/>
      <x:c r="AT28" s="14"/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/>
      <x:c r="BE28" s="14"/>
      <x:c r="BF28" s="14"/>
      <x:c r="BG28" s="14"/>
      <x:c r="BH28" s="14"/>
      <x:c r="BI28" s="14"/>
      <x:c r="BJ28" s="14"/>
      <x:c r="BK28" s="14"/>
      <x:c r="BL28" s="14"/>
      <x:c r="BM28" s="14"/>
      <x:c r="BN28" s="14"/>
      <x:c r="BO28" s="14"/>
    </x:row>
    <x:row r="29" ht="58" customHeight="1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23"/>
      <x:c r="M29" s="14"/>
      <x:c r="N29" s="14"/>
      <x:c r="O29" s="14"/>
      <x:c r="P29" s="14"/>
      <x:c r="Q29" s="14"/>
      <x:c r="R29" s="23"/>
      <x:c r="S29" s="14"/>
      <x:c r="T29" s="14"/>
      <x:c r="U29" s="14"/>
      <x:c r="V29" s="14"/>
      <x:c r="W29" s="14"/>
      <x:c r="X29" s="14"/>
      <x:c r="Y29" s="14"/>
      <x:c r="Z29" s="14"/>
      <x:c r="AA29" s="14"/>
      <x:c r="AB29" s="14"/>
      <x:c r="AC29" s="14"/>
      <x:c r="AD29" s="14"/>
      <x:c r="AE29" s="14"/>
      <x:c r="AF29" s="14"/>
      <x:c r="AG29" s="14"/>
      <x:c r="AH29" s="14"/>
      <x:c r="AI29" s="14"/>
      <x:c r="AJ29" s="14"/>
      <x:c r="AK29" s="14"/>
      <x:c r="AL29" s="14"/>
      <x:c r="AM29" s="14"/>
      <x:c r="AN29" s="14"/>
      <x:c r="AO29" s="14"/>
      <x:c r="AP29" s="14"/>
      <x:c r="AQ29" s="14"/>
      <x:c r="AR29" s="14"/>
      <x:c r="AS29" s="14"/>
      <x:c r="AT29" s="14"/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/>
      <x:c r="BE29" s="14"/>
      <x:c r="BF29" s="14"/>
      <x:c r="BG29" s="14"/>
      <x:c r="BH29" s="14"/>
      <x:c r="BI29" s="14"/>
      <x:c r="BJ29" s="14"/>
      <x:c r="BK29" s="14"/>
      <x:c r="BL29" s="14"/>
      <x:c r="BM29" s="14"/>
      <x:c r="BN29" s="14"/>
      <x:c r="BO29" s="14"/>
    </x:row>
    <x:row r="30" ht="58" customHeight="1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23"/>
      <x:c r="M30" s="14"/>
      <x:c r="N30" s="14"/>
      <x:c r="O30" s="14"/>
      <x:c r="P30" s="14"/>
      <x:c r="Q30" s="14"/>
      <x:c r="R30" s="23"/>
      <x:c r="S30" s="14"/>
      <x:c r="T30" s="14"/>
      <x:c r="U30" s="14"/>
      <x:c r="V30" s="14"/>
      <x:c r="W30" s="14"/>
      <x:c r="X30" s="14"/>
      <x:c r="Y30" s="14"/>
      <x:c r="Z30" s="14"/>
      <x:c r="AA30" s="14"/>
      <x:c r="AB30" s="14"/>
      <x:c r="AC30" s="14"/>
      <x:c r="AD30" s="14"/>
      <x:c r="AE30" s="14"/>
      <x:c r="AF30" s="14"/>
      <x:c r="AG30" s="14"/>
      <x:c r="AH30" s="14"/>
      <x:c r="AI30" s="14"/>
      <x:c r="AJ30" s="14"/>
      <x:c r="AK30" s="14"/>
      <x:c r="AL30" s="14"/>
      <x:c r="AM30" s="14"/>
      <x:c r="AN30" s="14"/>
      <x:c r="AO30" s="14"/>
      <x:c r="AP30" s="14"/>
      <x:c r="AQ30" s="14"/>
      <x:c r="AR30" s="14"/>
      <x:c r="AS30" s="14"/>
      <x:c r="AT30" s="14"/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/>
      <x:c r="BE30" s="14"/>
      <x:c r="BF30" s="14"/>
      <x:c r="BG30" s="14"/>
      <x:c r="BH30" s="14"/>
      <x:c r="BI30" s="14"/>
      <x:c r="BJ30" s="14"/>
      <x:c r="BK30" s="14"/>
      <x:c r="BL30" s="14"/>
      <x:c r="BM30" s="14"/>
      <x:c r="BN30" s="14"/>
      <x:c r="BO30" s="14"/>
    </x:row>
    <x:row r="31" ht="58" customHeight="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23"/>
      <x:c r="M31" s="14"/>
      <x:c r="N31" s="14"/>
      <x:c r="O31" s="14"/>
      <x:c r="P31" s="14"/>
      <x:c r="Q31" s="14"/>
      <x:c r="R31" s="23"/>
      <x:c r="S31" s="14"/>
      <x:c r="T31" s="14"/>
      <x:c r="U31" s="14"/>
      <x:c r="V31" s="14"/>
      <x:c r="W31" s="14"/>
      <x:c r="X31" s="14"/>
      <x:c r="Y31" s="14"/>
      <x:c r="Z31" s="14"/>
      <x:c r="AA31" s="14"/>
      <x:c r="AB31" s="14"/>
      <x:c r="AC31" s="14"/>
      <x:c r="AD31" s="14"/>
      <x:c r="AE31" s="14"/>
      <x:c r="AF31" s="14"/>
      <x:c r="AG31" s="14"/>
      <x:c r="AH31" s="14"/>
      <x:c r="AI31" s="14"/>
      <x:c r="AJ31" s="14"/>
      <x:c r="AK31" s="14"/>
      <x:c r="AL31" s="14"/>
      <x:c r="AM31" s="14"/>
      <x:c r="AN31" s="14"/>
      <x:c r="AO31" s="14"/>
      <x:c r="AP31" s="14"/>
      <x:c r="AQ31" s="14"/>
      <x:c r="AR31" s="14"/>
      <x:c r="AS31" s="14"/>
      <x:c r="AT31" s="14"/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/>
      <x:c r="BE31" s="14"/>
      <x:c r="BF31" s="14"/>
      <x:c r="BG31" s="14"/>
      <x:c r="BH31" s="14"/>
      <x:c r="BI31" s="14"/>
      <x:c r="BJ31" s="14"/>
      <x:c r="BK31" s="14"/>
      <x:c r="BL31" s="14"/>
      <x:c r="BM31" s="14"/>
      <x:c r="BN31" s="14"/>
      <x:c r="BO31" s="14"/>
    </x:row>
    <x:row r="32" ht="58" customHeight="1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23"/>
      <x:c r="M32" s="14"/>
      <x:c r="N32" s="14"/>
      <x:c r="O32" s="14"/>
      <x:c r="P32" s="14"/>
      <x:c r="Q32" s="14"/>
      <x:c r="R32" s="23"/>
      <x:c r="S32" s="14"/>
      <x:c r="T32" s="14"/>
      <x:c r="U32" s="14"/>
      <x:c r="V32" s="14"/>
      <x:c r="W32" s="14"/>
      <x:c r="X32" s="14"/>
      <x:c r="Y32" s="14"/>
      <x:c r="Z32" s="14"/>
      <x:c r="AA32" s="14"/>
      <x:c r="AB32" s="14"/>
      <x:c r="AC32" s="14"/>
      <x:c r="AD32" s="14"/>
      <x:c r="AE32" s="14"/>
      <x:c r="AF32" s="14"/>
      <x:c r="AG32" s="14"/>
      <x:c r="AH32" s="14"/>
      <x:c r="AI32" s="14"/>
      <x:c r="AJ32" s="14"/>
      <x:c r="AK32" s="14"/>
      <x:c r="AL32" s="14"/>
      <x:c r="AM32" s="14"/>
      <x:c r="AN32" s="14"/>
      <x:c r="AO32" s="14"/>
      <x:c r="AP32" s="14"/>
      <x:c r="AQ32" s="14"/>
      <x:c r="AR32" s="14"/>
      <x:c r="AS32" s="14"/>
      <x:c r="AT32" s="14"/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/>
      <x:c r="BE32" s="14"/>
      <x:c r="BF32" s="14"/>
      <x:c r="BG32" s="14"/>
      <x:c r="BH32" s="14"/>
      <x:c r="BI32" s="14"/>
      <x:c r="BJ32" s="14"/>
      <x:c r="BK32" s="14"/>
      <x:c r="BL32" s="14"/>
      <x:c r="BM32" s="14"/>
      <x:c r="BN32" s="14"/>
      <x:c r="BO32" s="14"/>
    </x:row>
    <x:row r="33" ht="58" customHeight="1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23"/>
      <x:c r="M33" s="14"/>
      <x:c r="N33" s="14"/>
      <x:c r="O33" s="14"/>
      <x:c r="P33" s="14"/>
      <x:c r="Q33" s="14"/>
      <x:c r="R33" s="23"/>
      <x:c r="S33" s="14"/>
      <x:c r="T33" s="14"/>
      <x:c r="U33" s="14"/>
      <x:c r="V33" s="14"/>
      <x:c r="W33" s="14"/>
      <x:c r="X33" s="14"/>
      <x:c r="Y33" s="14"/>
      <x:c r="Z33" s="14"/>
      <x:c r="AA33" s="14"/>
      <x:c r="AB33" s="14"/>
      <x:c r="AC33" s="14"/>
      <x:c r="AD33" s="14"/>
      <x:c r="AE33" s="14"/>
      <x:c r="AF33" s="14"/>
      <x:c r="AG33" s="14"/>
      <x:c r="AH33" s="14"/>
      <x:c r="AI33" s="14"/>
      <x:c r="AJ33" s="14"/>
      <x:c r="AK33" s="14"/>
      <x:c r="AL33" s="14"/>
      <x:c r="AM33" s="14"/>
      <x:c r="AN33" s="14"/>
      <x:c r="AO33" s="14"/>
      <x:c r="AP33" s="14"/>
      <x:c r="AQ33" s="14"/>
      <x:c r="AR33" s="14"/>
      <x:c r="AS33" s="14"/>
      <x:c r="AT33" s="14"/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/>
      <x:c r="BE33" s="14"/>
      <x:c r="BF33" s="14"/>
      <x:c r="BG33" s="14"/>
      <x:c r="BH33" s="14"/>
      <x:c r="BI33" s="14"/>
      <x:c r="BJ33" s="14"/>
      <x:c r="BK33" s="14"/>
      <x:c r="BL33" s="14"/>
      <x:c r="BM33" s="14"/>
      <x:c r="BN33" s="14"/>
      <x:c r="BO33" s="14"/>
    </x:row>
    <x:row r="34" ht="58" customHeight="1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23"/>
      <x:c r="M34" s="14"/>
      <x:c r="N34" s="14"/>
      <x:c r="O34" s="14"/>
      <x:c r="P34" s="14"/>
      <x:c r="Q34" s="14"/>
      <x:c r="R34" s="23"/>
      <x:c r="S34" s="14"/>
      <x:c r="T34" s="14"/>
      <x:c r="U34" s="14"/>
      <x:c r="V34" s="14"/>
      <x:c r="W34" s="14"/>
      <x:c r="X34" s="14"/>
      <x:c r="Y34" s="14"/>
      <x:c r="Z34" s="14"/>
      <x:c r="AA34" s="14"/>
      <x:c r="AB34" s="14"/>
      <x:c r="AC34" s="14"/>
      <x:c r="AD34" s="14"/>
      <x:c r="AE34" s="14"/>
      <x:c r="AF34" s="14"/>
      <x:c r="AG34" s="14"/>
      <x:c r="AH34" s="14"/>
      <x:c r="AI34" s="14"/>
      <x:c r="AJ34" s="14"/>
      <x:c r="AK34" s="14"/>
      <x:c r="AL34" s="14"/>
      <x:c r="AM34" s="14"/>
      <x:c r="AN34" s="14"/>
      <x:c r="AO34" s="14"/>
      <x:c r="AP34" s="14"/>
      <x:c r="AQ34" s="14"/>
      <x:c r="AR34" s="14"/>
      <x:c r="AS34" s="14"/>
      <x:c r="AT34" s="14"/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/>
      <x:c r="BE34" s="14"/>
      <x:c r="BF34" s="14"/>
      <x:c r="BG34" s="14"/>
      <x:c r="BH34" s="14"/>
      <x:c r="BI34" s="14"/>
      <x:c r="BJ34" s="14"/>
      <x:c r="BK34" s="14"/>
      <x:c r="BL34" s="14"/>
      <x:c r="BM34" s="14"/>
      <x:c r="BN34" s="14"/>
      <x:c r="BO34" s="14"/>
    </x:row>
  </x:sheetData>
  <x:mergeCells>
    <x:mergeCell ref="A1:BO1"/>
    <x:mergeCell ref="A2:BO2"/>
  </x:mergeCells>
  <x:conditionalFormatting sqref="J5:J24">
    <x:cfRule type="containsText" dxfId="15" priority="1" operator="containsText" text="approved"/>
    <x:cfRule type="containsText" dxfId="16" priority="2" operator="containsText" text="preferred"/>
    <x:cfRule type="containsText" dxfId="17" priority="3" operator="containsText" text="rejected"/>
  </x:conditionalFormatting>
  <x:dataValidations count="20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'Lists'!$N$5:$N$8</x:formula1>
    </x:dataValidation>
    <x:dataValidation type="list" sqref="T5:T24">
      <x:formula1>'Lists'!$S$5:$S$6</x:formula1>
    </x:dataValidation>
    <x:dataValidation type="list" sqref="U5:U24">
      <x:formula1>'Lists'!$AE$5:$AE$8</x:formula1>
    </x:dataValidation>
    <x:dataValidation type="list" sqref="V5:V24">
      <x:formula1>'Lists'!$C$5:$C$6</x:formula1>
    </x:dataValidation>
    <x:dataValidation type="list" sqref="X5:X24">
      <x:formula1>'Lists'!$AF$5:$AF$7</x:formula1>
    </x:dataValidation>
    <x:dataValidation type="list" sqref="AB5:AB24">
      <x:formula1>'Lists'!$AG$5:$AG$9</x:formula1>
    </x:dataValidation>
    <x:dataValidation type="list" allowBlank="0" showDropDown="0" sqref="J5:J34">
      <x:formula1>'Lists'!$A$5:$A$9</x:formula1>
    </x:dataValidation>
    <x:dataValidation type="list" allowBlank="0" showDropDown="0" sqref="K5:K34">
      <x:formula1>'Lists'!$B$5:$B$9</x:formula1>
    </x:dataValidation>
    <x:dataValidation type="list" allowBlank="1" showDropDown="0" sqref="T5:T34">
      <x:formula1>'Lists'!$AM$5:$AM$8</x:formula1>
    </x:dataValidation>
    <x:dataValidation type="list" allowBlank="1" showDropDown="0" sqref="V5:V34">
      <x:formula1>'Lists'!$N$5:$N$15</x:formula1>
    </x:dataValidation>
    <x:dataValidation type="list" allowBlank="1" showDropDown="0" sqref="X5:X34">
      <x:formula1>'Lists'!$S$5:$S$15</x:formula1>
    </x:dataValidation>
    <x:dataValidation type="list" allowBlank="1" showDropDown="0" sqref="Y5:Y34">
      <x:formula1>'Lists'!$AE$5:$AE$15</x:formula1>
    </x:dataValidation>
    <x:dataValidation type="list" allowBlank="1" showDropDown="0" sqref="AF5:AF34">
      <x:formula1>'Lists'!$AS$5:$AS$7</x:formula1>
    </x:dataValidation>
    <x:dataValidation type="list" allowBlank="1" showDropDown="0" sqref="AR5:AR34">
      <x:formula1>'Lists'!$AG$5:$AG$15</x:formula1>
    </x:dataValidation>
    <x:dataValidation type="list" allowBlank="1" showDropDown="0" sqref="AU5:AU34">
      <x:formula1>'Lists'!$AR$5:$AR$7</x:formula1>
    </x:dataValidation>
    <x:dataValidation type="list" allowBlank="1" showDropDown="0" sqref="BG5:BG34">
      <x:formula1>'Lists'!$C$5:$C$6</x:formula1>
    </x:dataValidation>
    <x:dataValidation type="list" allowBlank="1" showDropDown="0" sqref="BH5:BH34">
      <x:formula1>'Lists'!$C$5:$C$6</x:formula1>
    </x:dataValidation>
    <x:dataValidation type="list" allowBlank="1" showDropDown="0" sqref="BI5:BI34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0959fb608aa406f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18" hidden="0" customWidth="1"/>
    <x:col min="4" max="4" width="20" hidden="0" customWidth="1"/>
    <x:col min="5" max="5" width="21" hidden="0" customWidth="1"/>
    <x:col min="6" max="6" width="14" hidden="0" customWidth="1"/>
    <x:col min="7" max="7" width="18" hidden="0" customWidth="1"/>
    <x:col min="8" max="8" width="20" hidden="0" customWidth="1"/>
    <x:col min="9" max="9" width="13" hidden="0" customWidth="1"/>
    <x:col min="10" max="10" width="20" hidden="0" customWidth="1"/>
    <x:col min="11" max="11" width="28" hidden="0" customWidth="1"/>
    <x:col min="12" max="12" width="31" hidden="0" customWidth="1"/>
    <x:col min="13" max="13" width="27" hidden="0" customWidth="1"/>
  </x:cols>
  <x:sheetData>
    <x:row r="1" ht="28" customHeight="1">
      <x:c r="A1" s="181" t="str">
        <x:v>MotherboardSlots PCIe・M.2接続表</x:v>
      </x:c>
      <x:c r="B1" s="181"/>
      <x:c r="C1" s="181"/>
      <x:c r="D1" s="181"/>
      <x:c r="E1" s="181"/>
      <x:c r="F1" s="181"/>
      <x:c r="G1" s="181"/>
      <x:c r="H1" s="181"/>
      <x:c r="I1" s="181"/>
      <x:c r="J1" s="181"/>
      <x:c r="K1" s="181"/>
      <x:c r="L1" s="181"/>
      <x:c r="M1" s="181"/>
    </x:row>
    <x:row r="2" ht="42" customHeight="1">
      <x:c r="A2" s="187" t="str">
        <x:v>物理スロットとM.2を1件1行で管理します。shared_with・sharing_effect・availability_conditionを使い、CPU別のレーン幅や排他条件を検索できます。</x:v>
      </x:c>
      <x:c r="B2" s="187"/>
      <x:c r="C2" s="187"/>
      <x:c r="D2" s="187"/>
      <x:c r="E2" s="187"/>
      <x:c r="F2" s="187"/>
      <x:c r="G2" s="187"/>
      <x:c r="H2" s="187"/>
      <x:c r="I2" s="187"/>
      <x:c r="J2" s="187"/>
      <x:c r="K2" s="187"/>
      <x:c r="L2" s="187"/>
      <x:c r="M2" s="187"/>
    </x:row>
    <x:row r="3" ht="8" customHeight="1"/>
    <x:row r="4" ht="54" customHeight="1">
      <x:c r="A4" s="194" t="str">
        <x:v>slot_record_id</x:v>
      </x:c>
      <x:c r="B4" s="194" t="str">
        <x:v>product_id</x:v>
      </x:c>
      <x:c r="C4" s="194" t="str">
        <x:v>slot_name</x:v>
      </x:c>
      <x:c r="D4" s="194" t="str">
        <x:v>slot_type</x:v>
      </x:c>
      <x:c r="E4" s="194" t="str">
        <x:v>interface_generation</x:v>
      </x:c>
      <x:c r="F4" s="194" t="str">
        <x:v>lane_width</x:v>
      </x:c>
      <x:c r="G4" s="194" t="str">
        <x:v>connected_to</x:v>
      </x:c>
      <x:c r="H4" s="194" t="str">
        <x:v>supported_sizes</x:v>
      </x:c>
      <x:c r="I4" s="194" t="str">
        <x:v>heatsink</x:v>
      </x:c>
      <x:c r="J4" s="194" t="str">
        <x:v>shared_with</x:v>
      </x:c>
      <x:c r="K4" s="194" t="str">
        <x:v>sharing_effect</x:v>
      </x:c>
      <x:c r="L4" s="194" t="str">
        <x:v>availability_condition</x:v>
      </x:c>
      <x:c r="M4" s="194" t="str">
        <x:v>notes</x:v>
      </x:c>
    </x:row>
    <x:row r="5" ht="58" customHeight="1">
      <x:c r="A5" s="14" t="str">
        <x:v>motherboard-asus-tuf-gaming-b650-plus-wifi-pciex16-1</x:v>
      </x:c>
      <x:c r="B5" s="14" t="str">
        <x:v>motherboard-asus-tuf-gaming-b650-plus-wifi</x:v>
      </x:c>
      <x:c r="C5" s="195" t="str">
        <x:v>PCIEX16_1</x:v>
      </x:c>
      <x:c r="D5" s="195" t="str">
        <x:v>pcie_expansion</x:v>
      </x:c>
      <x:c r="E5" s="195" t="n">
        <x:v>4</x:v>
      </x:c>
      <x:c r="F5" s="195" t="n">
        <x:v>16</x:v>
      </x:c>
      <x:c r="G5" s="195" t="str">
        <x:v>CPU</x:v>
      </x:c>
      <x:c r="H5" s="14"/>
      <x:c r="I5" s="14"/>
      <x:c r="J5" s="14"/>
      <x:c r="K5" s="14"/>
      <x:c r="L5" s="14" t="str">
        <x:v>Ryzen 7000/9000: x16、Ryzen 8000: x8またはx4</x:v>
      </x:c>
      <x:c r="M5" s="14"/>
    </x:row>
    <x:row r="6" ht="58" customHeight="1">
      <x:c r="A6" s="14" t="str">
        <x:v>motherboard-asus-tuf-gaming-b650-plus-wifi-pciex16-2</x:v>
      </x:c>
      <x:c r="B6" s="14" t="str">
        <x:v>motherboard-asus-tuf-gaming-b650-plus-wifi</x:v>
      </x:c>
      <x:c r="C6" s="195" t="str">
        <x:v>PCIEX16_2</x:v>
      </x:c>
      <x:c r="D6" s="195" t="str">
        <x:v>pcie_expansion</x:v>
      </x:c>
      <x:c r="E6" s="195" t="n">
        <x:v>4</x:v>
      </x:c>
      <x:c r="F6" s="195" t="n">
        <x:v>4</x:v>
      </x:c>
      <x:c r="G6" s="195" t="str">
        <x:v>Chipset</x:v>
      </x:c>
      <x:c r="H6" s="14"/>
      <x:c r="I6" s="14"/>
      <x:c r="J6" s="14" t="str">
        <x:v>M2_3</x:v>
      </x:c>
      <x:c r="K6" s="14" t="str">
        <x:v>M2_3使用時は無効</x:v>
      </x:c>
      <x:c r="L6" s="14"/>
      <x:c r="M6" s="14"/>
    </x:row>
    <x:row r="7" ht="58" customHeight="1">
      <x:c r="A7" s="14" t="str">
        <x:v>motherboard-asus-tuf-gaming-b650-plus-wifi-pciex1-1</x:v>
      </x:c>
      <x:c r="B7" s="14" t="str">
        <x:v>motherboard-asus-tuf-gaming-b650-plus-wifi</x:v>
      </x:c>
      <x:c r="C7" s="195" t="str">
        <x:v>PCIEX1_1</x:v>
      </x:c>
      <x:c r="D7" s="195" t="str">
        <x:v>pcie_expansion</x:v>
      </x:c>
      <x:c r="E7" s="195" t="n">
        <x:v>4</x:v>
      </x:c>
      <x:c r="F7" s="195" t="n">
        <x:v>1</x:v>
      </x:c>
      <x:c r="G7" s="195" t="str">
        <x:v>Chipset</x:v>
      </x:c>
      <x:c r="H7" s="14"/>
      <x:c r="I7" s="14"/>
      <x:c r="J7" s="14"/>
      <x:c r="K7" s="14"/>
      <x:c r="L7" s="14"/>
      <x:c r="M7" s="14"/>
    </x:row>
    <x:row r="8" ht="58" customHeight="1">
      <x:c r="A8" s="14" t="str">
        <x:v>motherboard-asus-tuf-gaming-b650-plus-wifi-pciex1-2</x:v>
      </x:c>
      <x:c r="B8" s="14" t="str">
        <x:v>motherboard-asus-tuf-gaming-b650-plus-wifi</x:v>
      </x:c>
      <x:c r="C8" s="195" t="str">
        <x:v>PCIEX1_2</x:v>
      </x:c>
      <x:c r="D8" s="195" t="str">
        <x:v>pcie_expansion</x:v>
      </x:c>
      <x:c r="E8" s="195" t="n">
        <x:v>4</x:v>
      </x:c>
      <x:c r="F8" s="195" t="n">
        <x:v>1</x:v>
      </x:c>
      <x:c r="G8" s="195" t="str">
        <x:v>Chipset</x:v>
      </x:c>
      <x:c r="H8" s="14"/>
      <x:c r="I8" s="14"/>
      <x:c r="J8" s="14"/>
      <x:c r="K8" s="14"/>
      <x:c r="L8" s="14"/>
      <x:c r="M8" s="14"/>
    </x:row>
    <x:row r="9" ht="58" customHeight="1">
      <x:c r="A9" s="14" t="str">
        <x:v>motherboard-asus-tuf-gaming-b650-plus-wifi-m2-1</x:v>
      </x:c>
      <x:c r="B9" s="14" t="str">
        <x:v>motherboard-asus-tuf-gaming-b650-plus-wifi</x:v>
      </x:c>
      <x:c r="C9" s="195" t="str">
        <x:v>M2_1</x:v>
      </x:c>
      <x:c r="D9" s="195" t="str">
        <x:v>m2_storage</x:v>
      </x:c>
      <x:c r="E9" s="195" t="n">
        <x:v>5</x:v>
      </x:c>
      <x:c r="F9" s="195" t="n">
        <x:v>4</x:v>
      </x:c>
      <x:c r="G9" s="195" t="str">
        <x:v>CPU</x:v>
      </x:c>
      <x:c r="H9" s="14" t="str">
        <x:v>2242
2260
2280</x:v>
      </x:c>
      <x:c r="I9" s="15" t="b">
        <x:v>1</x:v>
      </x:c>
      <x:c r="J9" s="14"/>
      <x:c r="K9" s="14"/>
      <x:c r="L9" s="14" t="str">
        <x:v>CPU構成で接続世代・利用可否を確認</x:v>
      </x:c>
      <x:c r="M9" s="14"/>
    </x:row>
    <x:row r="10" ht="58" customHeight="1">
      <x:c r="A10" s="14" t="str">
        <x:v>motherboard-asus-tuf-gaming-b650-plus-wifi-m2-2</x:v>
      </x:c>
      <x:c r="B10" s="14" t="str">
        <x:v>motherboard-asus-tuf-gaming-b650-plus-wifi</x:v>
      </x:c>
      <x:c r="C10" s="195" t="str">
        <x:v>M2_2</x:v>
      </x:c>
      <x:c r="D10" s="195" t="str">
        <x:v>m2_storage</x:v>
      </x:c>
      <x:c r="E10" s="195" t="n">
        <x:v>4</x:v>
      </x:c>
      <x:c r="F10" s="195" t="n">
        <x:v>4</x:v>
      </x:c>
      <x:c r="G10" s="195" t="str">
        <x:v>CPU</x:v>
      </x:c>
      <x:c r="H10" s="14" t="str">
        <x:v>2242
2260
2280
22110</x:v>
      </x:c>
      <x:c r="I10" s="15" t="b">
        <x:v>1</x:v>
      </x:c>
      <x:c r="J10" s="14"/>
      <x:c r="K10" s="14"/>
      <x:c r="L10" s="14" t="str">
        <x:v>Ryzen 8000系ではx4またはx2。22110対応条件は公式仕様参照</x:v>
      </x:c>
      <x:c r="M10" s="14"/>
    </x:row>
    <x:row r="11" ht="58" customHeight="1">
      <x:c r="A11" s="14" t="str">
        <x:v>motherboard-asus-tuf-gaming-b650-plus-wifi-m2-3</x:v>
      </x:c>
      <x:c r="B11" s="14" t="str">
        <x:v>motherboard-asus-tuf-gaming-b650-plus-wifi</x:v>
      </x:c>
      <x:c r="C11" s="195" t="str">
        <x:v>M2_3</x:v>
      </x:c>
      <x:c r="D11" s="195" t="str">
        <x:v>m2_storage</x:v>
      </x:c>
      <x:c r="E11" s="195" t="n">
        <x:v>4</x:v>
      </x:c>
      <x:c r="F11" s="195" t="n">
        <x:v>4</x:v>
      </x:c>
      <x:c r="G11" s="195" t="str">
        <x:v>Chipset</x:v>
      </x:c>
      <x:c r="H11" s="14" t="str">
        <x:v>2242
2260
2280</x:v>
      </x:c>
      <x:c r="I11" s="15" t="b">
        <x:v>1</x:v>
      </x:c>
      <x:c r="J11" s="14" t="str">
        <x:v>PCIEX16_2</x:v>
      </x:c>
      <x:c r="K11" s="14" t="str">
        <x:v>使用時にPCIEX16_2を無効化</x:v>
      </x:c>
      <x:c r="L11" s="14"/>
      <x:c r="M11" s="14"/>
    </x:row>
    <x:row r="12" ht="58" customHeight="1">
      <x:c r="A12" s="14" t="str">
        <x:v>motherboard-msi-mag-b650-tomahawk-wifi-pci-e1</x:v>
      </x:c>
      <x:c r="B12" s="14" t="str">
        <x:v>motherboard-msi-mag-b650-tomahawk-wifi</x:v>
      </x:c>
      <x:c r="C12" s="195" t="str">
        <x:v>PCI_E1</x:v>
      </x:c>
      <x:c r="D12" s="195" t="str">
        <x:v>pcie_expansion</x:v>
      </x:c>
      <x:c r="E12" s="195" t="n">
        <x:v>4</x:v>
      </x:c>
      <x:c r="F12" s="195" t="n">
        <x:v>16</x:v>
      </x:c>
      <x:c r="G12" s="195" t="str">
        <x:v>CPU</x:v>
      </x:c>
      <x:c r="H12" s="14"/>
      <x:c r="I12" s="14"/>
      <x:c r="J12" s="14"/>
      <x:c r="K12" s="14"/>
      <x:c r="L12" s="14" t="str">
        <x:v>CPUによりx16/x8/x4</x:v>
      </x:c>
      <x:c r="M12" s="14"/>
    </x:row>
    <x:row r="13" ht="58" customHeight="1">
      <x:c r="A13" s="14" t="str">
        <x:v>motherboard-msi-mag-b650-tomahawk-wifi-pci-e2</x:v>
      </x:c>
      <x:c r="B13" s="14" t="str">
        <x:v>motherboard-msi-mag-b650-tomahawk-wifi</x:v>
      </x:c>
      <x:c r="C13" s="195" t="str">
        <x:v>PCI_E2</x:v>
      </x:c>
      <x:c r="D13" s="195" t="str">
        <x:v>pcie_expansion</x:v>
      </x:c>
      <x:c r="E13" s="195" t="n">
        <x:v>4</x:v>
      </x:c>
      <x:c r="F13" s="195" t="n">
        <x:v>2</x:v>
      </x:c>
      <x:c r="G13" s="195" t="str">
        <x:v>Chipset</x:v>
      </x:c>
      <x:c r="H13" s="14"/>
      <x:c r="I13" s="14"/>
      <x:c r="J13" s="14" t="str">
        <x:v>M2_3</x:v>
      </x:c>
      <x:c r="K13" s="14" t="str">
        <x:v>M2_3同時使用時は双方x2</x:v>
      </x:c>
      <x:c r="L13" s="14"/>
      <x:c r="M13" s="14"/>
    </x:row>
    <x:row r="14" ht="58" customHeight="1">
      <x:c r="A14" s="14" t="str">
        <x:v>motherboard-msi-mag-b650-tomahawk-wifi-pci-e3</x:v>
      </x:c>
      <x:c r="B14" s="14" t="str">
        <x:v>motherboard-msi-mag-b650-tomahawk-wifi</x:v>
      </x:c>
      <x:c r="C14" s="195" t="str">
        <x:v>PCI_E3</x:v>
      </x:c>
      <x:c r="D14" s="195" t="str">
        <x:v>pcie_expansion</x:v>
      </x:c>
      <x:c r="E14" s="195" t="n">
        <x:v>3</x:v>
      </x:c>
      <x:c r="F14" s="195" t="n">
        <x:v>1</x:v>
      </x:c>
      <x:c r="G14" s="195" t="str">
        <x:v>Chipset</x:v>
      </x:c>
      <x:c r="H14" s="14"/>
      <x:c r="I14" s="14"/>
      <x:c r="J14" s="14"/>
      <x:c r="K14" s="14"/>
      <x:c r="L14" s="14"/>
      <x:c r="M14" s="14"/>
    </x:row>
    <x:row r="15" ht="58" customHeight="1">
      <x:c r="A15" s="14" t="str">
        <x:v>motherboard-msi-mag-b650-tomahawk-wifi-m2-1</x:v>
      </x:c>
      <x:c r="B15" s="14" t="str">
        <x:v>motherboard-msi-mag-b650-tomahawk-wifi</x:v>
      </x:c>
      <x:c r="C15" s="195" t="str">
        <x:v>M2_1</x:v>
      </x:c>
      <x:c r="D15" s="195" t="str">
        <x:v>m2_storage</x:v>
      </x:c>
      <x:c r="E15" s="195" t="n">
        <x:v>4</x:v>
      </x:c>
      <x:c r="F15" s="195" t="n">
        <x:v>4</x:v>
      </x:c>
      <x:c r="G15" s="195" t="str">
        <x:v>CPU</x:v>
      </x:c>
      <x:c r="H15" s="14" t="str">
        <x:v>2280
22110</x:v>
      </x:c>
      <x:c r="I15" s="15" t="b">
        <x:v>1</x:v>
      </x:c>
      <x:c r="J15" s="14"/>
      <x:c r="K15" s="14"/>
      <x:c r="L15" s="14"/>
      <x:c r="M15" s="14"/>
    </x:row>
    <x:row r="16" ht="58" customHeight="1">
      <x:c r="A16" s="14" t="str">
        <x:v>motherboard-msi-mag-b650-tomahawk-wifi-m2-2</x:v>
      </x:c>
      <x:c r="B16" s="14" t="str">
        <x:v>motherboard-msi-mag-b650-tomahawk-wifi</x:v>
      </x:c>
      <x:c r="C16" s="195" t="str">
        <x:v>M2_2</x:v>
      </x:c>
      <x:c r="D16" s="195" t="str">
        <x:v>m2_storage</x:v>
      </x:c>
      <x:c r="E16" s="195" t="n">
        <x:v>4</x:v>
      </x:c>
      <x:c r="F16" s="195" t="n">
        <x:v>4</x:v>
      </x:c>
      <x:c r="G16" s="195" t="str">
        <x:v>CPU</x:v>
      </x:c>
      <x:c r="H16" s="14" t="str">
        <x:v>2260
2280</x:v>
      </x:c>
      <x:c r="I16" s="15" t="b">
        <x:v>0</x:v>
      </x:c>
      <x:c r="J16" s="14"/>
      <x:c r="K16" s="14"/>
      <x:c r="L16" s="14" t="str">
        <x:v>Ryzen 8500/8300系では使用不可</x:v>
      </x:c>
      <x:c r="M16" s="14"/>
    </x:row>
    <x:row r="17" ht="58" customHeight="1">
      <x:c r="A17" s="14" t="str">
        <x:v>motherboard-msi-mag-b650-tomahawk-wifi-m2-3</x:v>
      </x:c>
      <x:c r="B17" s="14" t="str">
        <x:v>motherboard-msi-mag-b650-tomahawk-wifi</x:v>
      </x:c>
      <x:c r="C17" s="195" t="str">
        <x:v>M2_3</x:v>
      </x:c>
      <x:c r="D17" s="195" t="str">
        <x:v>m2_storage</x:v>
      </x:c>
      <x:c r="E17" s="195" t="n">
        <x:v>4</x:v>
      </x:c>
      <x:c r="F17" s="195" t="n">
        <x:v>4</x:v>
      </x:c>
      <x:c r="G17" s="195" t="str">
        <x:v>Chipset</x:v>
      </x:c>
      <x:c r="H17" s="14" t="str">
        <x:v>2260
2280</x:v>
      </x:c>
      <x:c r="I17" s="15" t="b">
        <x:v>1</x:v>
      </x:c>
      <x:c r="J17" s="14" t="str">
        <x:v>PCI_E2</x:v>
      </x:c>
      <x:c r="K17" s="14" t="str">
        <x:v>PCI_E2同時使用時は双方x2</x:v>
      </x:c>
      <x:c r="L17" s="14"/>
      <x:c r="M17" s="14"/>
    </x:row>
    <x:row r="18" ht="58" customHeight="1">
      <x:c r="A18" s="14" t="str">
        <x:v>motherboard-gigabyte-b650-aorus-elite-ax-v2-rev-10-pciex16</x:v>
      </x:c>
      <x:c r="B18" s="14" t="str">
        <x:v>motherboard-gigabyte-b650-aorus-elite-ax-v2-rev-10</x:v>
      </x:c>
      <x:c r="C18" s="195" t="str">
        <x:v>PCIEX16</x:v>
      </x:c>
      <x:c r="D18" s="195" t="str">
        <x:v>pcie_expansion</x:v>
      </x:c>
      <x:c r="E18" s="195" t="n">
        <x:v>4</x:v>
      </x:c>
      <x:c r="F18" s="195" t="n">
        <x:v>16</x:v>
      </x:c>
      <x:c r="G18" s="195" t="str">
        <x:v>CPU</x:v>
      </x:c>
      <x:c r="H18" s="14"/>
      <x:c r="I18" s="14"/>
      <x:c r="J18" s="14"/>
      <x:c r="K18" s="14"/>
      <x:c r="L18" s="14" t="str">
        <x:v>CPUによりx16/x8/x4</x:v>
      </x:c>
      <x:c r="M18" s="14"/>
    </x:row>
    <x:row r="19" ht="58" customHeight="1">
      <x:c r="A19" s="14" t="str">
        <x:v>motherboard-gigabyte-b650-aorus-elite-ax-v2-rev-10-pciex1-1</x:v>
      </x:c>
      <x:c r="B19" s="14" t="str">
        <x:v>motherboard-gigabyte-b650-aorus-elite-ax-v2-rev-10</x:v>
      </x:c>
      <x:c r="C19" s="195" t="str">
        <x:v>PCIEX1_1</x:v>
      </x:c>
      <x:c r="D19" s="195" t="str">
        <x:v>pcie_expansion</x:v>
      </x:c>
      <x:c r="E19" s="195" t="n">
        <x:v>3</x:v>
      </x:c>
      <x:c r="F19" s="195" t="n">
        <x:v>1</x:v>
      </x:c>
      <x:c r="G19" s="195" t="str">
        <x:v>Chipset</x:v>
      </x:c>
      <x:c r="H19" s="14"/>
      <x:c r="I19" s="14"/>
      <x:c r="J19" s="14"/>
      <x:c r="K19" s="14"/>
      <x:c r="L19" s="14"/>
      <x:c r="M19" s="14" t="str">
        <x:v>物理x16長スロット（電気x1）</x:v>
      </x:c>
    </x:row>
    <x:row r="20" ht="58" customHeight="1">
      <x:c r="A20" s="14" t="str">
        <x:v>motherboard-gigabyte-b650-aorus-elite-ax-v2-rev-10-pciex1-2</x:v>
      </x:c>
      <x:c r="B20" s="14" t="str">
        <x:v>motherboard-gigabyte-b650-aorus-elite-ax-v2-rev-10</x:v>
      </x:c>
      <x:c r="C20" s="195" t="str">
        <x:v>PCIEX1_2</x:v>
      </x:c>
      <x:c r="D20" s="195" t="str">
        <x:v>pcie_expansion</x:v>
      </x:c>
      <x:c r="E20" s="195" t="n">
        <x:v>3</x:v>
      </x:c>
      <x:c r="F20" s="195" t="n">
        <x:v>1</x:v>
      </x:c>
      <x:c r="G20" s="195" t="str">
        <x:v>Chipset</x:v>
      </x:c>
      <x:c r="H20" s="14"/>
      <x:c r="I20" s="14"/>
      <x:c r="J20" s="14"/>
      <x:c r="K20" s="14"/>
      <x:c r="L20" s="14"/>
      <x:c r="M20" s="14" t="str">
        <x:v>物理x16長スロット（電気x1）</x:v>
      </x:c>
    </x:row>
    <x:row r="21" ht="58" customHeight="1">
      <x:c r="A21" s="14" t="str">
        <x:v>motherboard-gigabyte-b650-aorus-elite-ax-v2-rev-10-m2a-cpu</x:v>
      </x:c>
      <x:c r="B21" s="14" t="str">
        <x:v>motherboard-gigabyte-b650-aorus-elite-ax-v2-rev-10</x:v>
      </x:c>
      <x:c r="C21" s="195" t="str">
        <x:v>M2A_CPU</x:v>
      </x:c>
      <x:c r="D21" s="195" t="str">
        <x:v>m2_storage</x:v>
      </x:c>
      <x:c r="E21" s="195" t="n">
        <x:v>5</x:v>
      </x:c>
      <x:c r="F21" s="195" t="n">
        <x:v>4</x:v>
      </x:c>
      <x:c r="G21" s="195" t="str">
        <x:v>CPU</x:v>
      </x:c>
      <x:c r="H21" s="14" t="str">
        <x:v>2280
22110
2580
25110</x:v>
      </x:c>
      <x:c r="I21" s="15" t="b">
        <x:v>1</x:v>
      </x:c>
      <x:c r="J21" s="14"/>
      <x:c r="K21" s="14"/>
      <x:c r="L21" s="14" t="str">
        <x:v>CPU構成で世代・レーン幅が変化</x:v>
      </x:c>
      <x:c r="M21" s="14"/>
    </x:row>
    <x:row r="22" ht="58" customHeight="1">
      <x:c r="A22" s="14" t="str">
        <x:v>motherboard-gigabyte-b650-aorus-elite-ax-v2-rev-10-m2b-cpu</x:v>
      </x:c>
      <x:c r="B22" s="14" t="str">
        <x:v>motherboard-gigabyte-b650-aorus-elite-ax-v2-rev-10</x:v>
      </x:c>
      <x:c r="C22" s="195" t="str">
        <x:v>M2B_CPU</x:v>
      </x:c>
      <x:c r="D22" s="195" t="str">
        <x:v>m2_storage</x:v>
      </x:c>
      <x:c r="E22" s="195" t="n">
        <x:v>4</x:v>
      </x:c>
      <x:c r="F22" s="195" t="n">
        <x:v>4</x:v>
      </x:c>
      <x:c r="G22" s="195" t="str">
        <x:v>CPU</x:v>
      </x:c>
      <x:c r="H22" s="14" t="str">
        <x:v>2280
22110
2580
25110</x:v>
      </x:c>
      <x:c r="I22" s="15" t="b">
        <x:v>1</x:v>
      </x:c>
      <x:c r="J22" s="14"/>
      <x:c r="K22" s="14"/>
      <x:c r="L22" s="14" t="str">
        <x:v>CPU構成でレーン幅が変化</x:v>
      </x:c>
      <x:c r="M22" s="14"/>
    </x:row>
    <x:row r="23" ht="58" customHeight="1">
      <x:c r="A23" s="14" t="str">
        <x:v>motherboard-gigabyte-b650-aorus-elite-ax-v2-rev-10-m2c-sb</x:v>
      </x:c>
      <x:c r="B23" s="14" t="str">
        <x:v>motherboard-gigabyte-b650-aorus-elite-ax-v2-rev-10</x:v>
      </x:c>
      <x:c r="C23" s="195" t="str">
        <x:v>M2C_SB</x:v>
      </x:c>
      <x:c r="D23" s="195" t="str">
        <x:v>m2_storage</x:v>
      </x:c>
      <x:c r="E23" s="195" t="n">
        <x:v>4</x:v>
      </x:c>
      <x:c r="F23" s="195" t="n">
        <x:v>4</x:v>
      </x:c>
      <x:c r="G23" s="195" t="str">
        <x:v>Chipset</x:v>
      </x:c>
      <x:c r="H23" s="14" t="str">
        <x:v>2280
22110
2580
25110</x:v>
      </x:c>
      <x:c r="I23" s="15" t="b">
        <x:v>1</x:v>
      </x:c>
      <x:c r="J23" s="14"/>
      <x:c r="K23" s="14"/>
      <x:c r="L23" s="14"/>
      <x:c r="M23" s="14"/>
    </x:row>
    <x:row r="24" ht="58" customHeight="1">
      <x:c r="A24" s="14" t="str">
        <x:v>motherboard-gigabyte-b650-aorus-elite-ax-v2-rev-11-pciex16</x:v>
      </x:c>
      <x:c r="B24" s="14" t="str">
        <x:v>motherboard-gigabyte-b650-aorus-elite-ax-v2-rev-11</x:v>
      </x:c>
      <x:c r="C24" s="195" t="str">
        <x:v>PCIEX16</x:v>
      </x:c>
      <x:c r="D24" s="195" t="str">
        <x:v>pcie_expansion</x:v>
      </x:c>
      <x:c r="E24" s="195" t="n">
        <x:v>4</x:v>
      </x:c>
      <x:c r="F24" s="195" t="n">
        <x:v>16</x:v>
      </x:c>
      <x:c r="G24" s="195" t="str">
        <x:v>CPU</x:v>
      </x:c>
      <x:c r="H24" s="14"/>
      <x:c r="I24" s="14"/>
      <x:c r="J24" s="14"/>
      <x:c r="K24" s="14"/>
      <x:c r="L24" s="14" t="str">
        <x:v>CPUによりx16/x8/x4</x:v>
      </x:c>
      <x:c r="M24" s="14"/>
    </x:row>
    <x:row r="25" ht="58" customHeight="1">
      <x:c r="A25" s="14" t="str">
        <x:v>motherboard-gigabyte-b650-aorus-elite-ax-v2-rev-11-pciex1-1</x:v>
      </x:c>
      <x:c r="B25" s="14" t="str">
        <x:v>motherboard-gigabyte-b650-aorus-elite-ax-v2-rev-11</x:v>
      </x:c>
      <x:c r="C25" s="195" t="str">
        <x:v>PCIEX1_1</x:v>
      </x:c>
      <x:c r="D25" s="195" t="str">
        <x:v>pcie_expansion</x:v>
      </x:c>
      <x:c r="E25" s="195" t="n">
        <x:v>3</x:v>
      </x:c>
      <x:c r="F25" s="195" t="n">
        <x:v>1</x:v>
      </x:c>
      <x:c r="G25" s="195" t="str">
        <x:v>Chipset</x:v>
      </x:c>
      <x:c r="H25" s="14"/>
      <x:c r="I25" s="14"/>
      <x:c r="J25" s="14"/>
      <x:c r="K25" s="14"/>
      <x:c r="L25" s="14"/>
      <x:c r="M25" s="14" t="str">
        <x:v>物理x16長スロット（電気x1）</x:v>
      </x:c>
    </x:row>
    <x:row r="26" ht="58" customHeight="1">
      <x:c r="A26" s="14" t="str">
        <x:v>motherboard-gigabyte-b650-aorus-elite-ax-v2-rev-11-pciex1-2</x:v>
      </x:c>
      <x:c r="B26" s="14" t="str">
        <x:v>motherboard-gigabyte-b650-aorus-elite-ax-v2-rev-11</x:v>
      </x:c>
      <x:c r="C26" s="195" t="str">
        <x:v>PCIEX1_2</x:v>
      </x:c>
      <x:c r="D26" s="195" t="str">
        <x:v>pcie_expansion</x:v>
      </x:c>
      <x:c r="E26" s="195" t="n">
        <x:v>3</x:v>
      </x:c>
      <x:c r="F26" s="195" t="n">
        <x:v>1</x:v>
      </x:c>
      <x:c r="G26" s="195" t="str">
        <x:v>Chipset</x:v>
      </x:c>
      <x:c r="H26" s="14"/>
      <x:c r="I26" s="14"/>
      <x:c r="J26" s="14"/>
      <x:c r="K26" s="14"/>
      <x:c r="L26" s="14"/>
      <x:c r="M26" s="14" t="str">
        <x:v>物理x16長スロット（電気x1）</x:v>
      </x:c>
    </x:row>
    <x:row r="27" ht="58" customHeight="1">
      <x:c r="A27" s="14" t="str">
        <x:v>motherboard-gigabyte-b650-aorus-elite-ax-v2-rev-11-m2a-cpu</x:v>
      </x:c>
      <x:c r="B27" s="14" t="str">
        <x:v>motherboard-gigabyte-b650-aorus-elite-ax-v2-rev-11</x:v>
      </x:c>
      <x:c r="C27" s="195" t="str">
        <x:v>M2A_CPU</x:v>
      </x:c>
      <x:c r="D27" s="195" t="str">
        <x:v>m2_storage</x:v>
      </x:c>
      <x:c r="E27" s="195" t="n">
        <x:v>5</x:v>
      </x:c>
      <x:c r="F27" s="195" t="n">
        <x:v>4</x:v>
      </x:c>
      <x:c r="G27" s="195" t="str">
        <x:v>CPU</x:v>
      </x:c>
      <x:c r="H27" s="14" t="str">
        <x:v>2280
22110
2580
25110</x:v>
      </x:c>
      <x:c r="I27" s="15" t="b">
        <x:v>1</x:v>
      </x:c>
      <x:c r="J27" s="14"/>
      <x:c r="K27" s="14"/>
      <x:c r="L27" s="14" t="str">
        <x:v>CPU構成で世代・レーン幅が変化</x:v>
      </x:c>
      <x:c r="M27" s="14"/>
    </x:row>
    <x:row r="28" ht="58" customHeight="1">
      <x:c r="A28" s="14" t="str">
        <x:v>motherboard-gigabyte-b650-aorus-elite-ax-v2-rev-11-m2b-cpu</x:v>
      </x:c>
      <x:c r="B28" s="14" t="str">
        <x:v>motherboard-gigabyte-b650-aorus-elite-ax-v2-rev-11</x:v>
      </x:c>
      <x:c r="C28" s="195" t="str">
        <x:v>M2B_CPU</x:v>
      </x:c>
      <x:c r="D28" s="195" t="str">
        <x:v>m2_storage</x:v>
      </x:c>
      <x:c r="E28" s="195" t="n">
        <x:v>4</x:v>
      </x:c>
      <x:c r="F28" s="195" t="n">
        <x:v>4</x:v>
      </x:c>
      <x:c r="G28" s="195" t="str">
        <x:v>CPU</x:v>
      </x:c>
      <x:c r="H28" s="14" t="str">
        <x:v>2280
22110
2580
25110</x:v>
      </x:c>
      <x:c r="I28" s="15" t="b">
        <x:v>1</x:v>
      </x:c>
      <x:c r="J28" s="14"/>
      <x:c r="K28" s="14"/>
      <x:c r="L28" s="14" t="str">
        <x:v>CPU構成でレーン幅が変化</x:v>
      </x:c>
      <x:c r="M28" s="14"/>
    </x:row>
    <x:row r="29" ht="58" customHeight="1">
      <x:c r="A29" s="14" t="str">
        <x:v>motherboard-gigabyte-b650-aorus-elite-ax-v2-rev-11-m2c-sb</x:v>
      </x:c>
      <x:c r="B29" s="14" t="str">
        <x:v>motherboard-gigabyte-b650-aorus-elite-ax-v2-rev-11</x:v>
      </x:c>
      <x:c r="C29" s="195" t="str">
        <x:v>M2C_SB</x:v>
      </x:c>
      <x:c r="D29" s="195" t="str">
        <x:v>m2_storage</x:v>
      </x:c>
      <x:c r="E29" s="195" t="n">
        <x:v>4</x:v>
      </x:c>
      <x:c r="F29" s="195" t="n">
        <x:v>4</x:v>
      </x:c>
      <x:c r="G29" s="195" t="str">
        <x:v>Chipset</x:v>
      </x:c>
      <x:c r="H29" s="14" t="str">
        <x:v>2280
22110
2580
25110</x:v>
      </x:c>
      <x:c r="I29" s="15" t="b">
        <x:v>1</x:v>
      </x:c>
      <x:c r="J29" s="14"/>
      <x:c r="K29" s="14"/>
      <x:c r="L29" s="14"/>
      <x:c r="M29" s="14"/>
    </x:row>
    <x:row r="30" ht="58" customHeight="1">
      <x:c r="A30" s="14" t="str">
        <x:v>motherboard-asrock-b650m-pro-rs-wifi-pcie1</x:v>
      </x:c>
      <x:c r="B30" s="14" t="str">
        <x:v>motherboard-asrock-b650m-pro-rs-wifi</x:v>
      </x:c>
      <x:c r="C30" s="195" t="str">
        <x:v>PCIE1</x:v>
      </x:c>
      <x:c r="D30" s="195" t="str">
        <x:v>pcie_expansion</x:v>
      </x:c>
      <x:c r="E30" s="195" t="n">
        <x:v>4</x:v>
      </x:c>
      <x:c r="F30" s="195" t="n">
        <x:v>16</x:v>
      </x:c>
      <x:c r="G30" s="195" t="str">
        <x:v>CPU</x:v>
      </x:c>
      <x:c r="H30" s="14"/>
      <x:c r="I30" s="14"/>
      <x:c r="J30" s="14"/>
      <x:c r="K30" s="14"/>
      <x:c r="L30" s="14"/>
      <x:c r="M30" s="14"/>
    </x:row>
    <x:row r="31" ht="58" customHeight="1">
      <x:c r="A31" s="14" t="str">
        <x:v>motherboard-asrock-b650m-pro-rs-wifi-pcie2</x:v>
      </x:c>
      <x:c r="B31" s="14" t="str">
        <x:v>motherboard-asrock-b650m-pro-rs-wifi</x:v>
      </x:c>
      <x:c r="C31" s="195" t="str">
        <x:v>PCIE2</x:v>
      </x:c>
      <x:c r="D31" s="195" t="str">
        <x:v>pcie_expansion</x:v>
      </x:c>
      <x:c r="E31" s="195" t="n">
        <x:v>3</x:v>
      </x:c>
      <x:c r="F31" s="195" t="n">
        <x:v>4</x:v>
      </x:c>
      <x:c r="G31" s="195" t="str">
        <x:v>CPU</x:v>
      </x:c>
      <x:c r="H31" s="14"/>
      <x:c r="I31" s="14"/>
      <x:c r="J31" s="14"/>
      <x:c r="K31" s="14"/>
      <x:c r="L31" s="14" t="str">
        <x:v>CPU構成で利用可否を確認</x:v>
      </x:c>
      <x:c r="M31" s="14" t="str">
        <x:v>物理x16スロット</x:v>
      </x:c>
    </x:row>
    <x:row r="32" ht="58" customHeight="1">
      <x:c r="A32" s="14" t="str">
        <x:v>motherboard-asrock-b650m-pro-rs-wifi-m2-1</x:v>
      </x:c>
      <x:c r="B32" s="14" t="str">
        <x:v>motherboard-asrock-b650m-pro-rs-wifi</x:v>
      </x:c>
      <x:c r="C32" s="195" t="str">
        <x:v>M2_1</x:v>
      </x:c>
      <x:c r="D32" s="195" t="str">
        <x:v>m2_storage</x:v>
      </x:c>
      <x:c r="E32" s="195" t="n">
        <x:v>5</x:v>
      </x:c>
      <x:c r="F32" s="195" t="n">
        <x:v>4</x:v>
      </x:c>
      <x:c r="G32" s="195" t="str">
        <x:v>CPU</x:v>
      </x:c>
      <x:c r="H32" s="14" t="str">
        <x:v>2260
2280</x:v>
      </x:c>
      <x:c r="I32" s="15" t="b">
        <x:v>1</x:v>
      </x:c>
      <x:c r="J32" s="14"/>
      <x:c r="K32" s="14"/>
      <x:c r="L32" s="14"/>
      <x:c r="M32" s="14"/>
    </x:row>
    <x:row r="33" ht="58" customHeight="1">
      <x:c r="A33" s="14" t="str">
        <x:v>motherboard-asrock-b650m-pro-rs-wifi-m2-2</x:v>
      </x:c>
      <x:c r="B33" s="14" t="str">
        <x:v>motherboard-asrock-b650m-pro-rs-wifi</x:v>
      </x:c>
      <x:c r="C33" s="195" t="str">
        <x:v>M2_2</x:v>
      </x:c>
      <x:c r="D33" s="195" t="str">
        <x:v>m2_storage</x:v>
      </x:c>
      <x:c r="E33" s="195" t="n">
        <x:v>4</x:v>
      </x:c>
      <x:c r="F33" s="195" t="n">
        <x:v>4</x:v>
      </x:c>
      <x:c r="G33" s="195" t="str">
        <x:v>Chipset</x:v>
      </x:c>
      <x:c r="H33" s="14" t="str">
        <x:v>2260
2280</x:v>
      </x:c>
      <x:c r="I33" s="15" t="b">
        <x:v>0</x:v>
      </x:c>
      <x:c r="J33" s="14"/>
      <x:c r="K33" s="14"/>
      <x:c r="L33" s="14"/>
      <x:c r="M33" s="14"/>
    </x:row>
    <x:row r="34" ht="58" customHeight="1">
      <x:c r="A34" s="14" t="str">
        <x:v>motherboard-asrock-b650m-pro-rs-wifi-m2-3</x:v>
      </x:c>
      <x:c r="B34" s="14" t="str">
        <x:v>motherboard-asrock-b650m-pro-rs-wifi</x:v>
      </x:c>
      <x:c r="C34" s="195" t="str">
        <x:v>M2_3</x:v>
      </x:c>
      <x:c r="D34" s="195" t="str">
        <x:v>m2_storage</x:v>
      </x:c>
      <x:c r="E34" s="195" t="n">
        <x:v>4</x:v>
      </x:c>
      <x:c r="F34" s="195" t="n">
        <x:v>2</x:v>
      </x:c>
      <x:c r="G34" s="195" t="str">
        <x:v>Chipset</x:v>
      </x:c>
      <x:c r="H34" s="14" t="str">
        <x:v>2260
2280</x:v>
      </x:c>
      <x:c r="I34" s="15" t="b">
        <x:v>0</x:v>
      </x:c>
      <x:c r="J34" s="14"/>
      <x:c r="K34" s="14"/>
      <x:c r="L34" s="14"/>
      <x:c r="M34" s="14"/>
    </x:row>
    <x:row r="35" ht="58" customHeight="1">
      <x:c r="A35" s="14" t="str">
        <x:v>motherboard-asus-tuf-gaming-z790-plus-wifi-pciex16-1</x:v>
      </x:c>
      <x:c r="B35" s="14" t="str">
        <x:v>motherboard-asus-tuf-gaming-z790-plus-wifi</x:v>
      </x:c>
      <x:c r="C35" s="195" t="str">
        <x:v>PCIEX16_1</x:v>
      </x:c>
      <x:c r="D35" s="195" t="str">
        <x:v>pcie_expansion</x:v>
      </x:c>
      <x:c r="E35" s="195" t="n">
        <x:v>5</x:v>
      </x:c>
      <x:c r="F35" s="195" t="n">
        <x:v>16</x:v>
      </x:c>
      <x:c r="G35" s="195" t="str">
        <x:v>CPU</x:v>
      </x:c>
      <x:c r="H35" s="14"/>
      <x:c r="I35" s="14"/>
      <x:c r="J35" s="14"/>
      <x:c r="K35" s="14"/>
      <x:c r="L35" s="14"/>
      <x:c r="M35" s="14"/>
    </x:row>
    <x:row r="36" ht="58" customHeight="1">
      <x:c r="A36" s="14" t="str">
        <x:v>motherboard-asus-tuf-gaming-z790-plus-wifi-pciex16-2</x:v>
      </x:c>
      <x:c r="B36" s="14" t="str">
        <x:v>motherboard-asus-tuf-gaming-z790-plus-wifi</x:v>
      </x:c>
      <x:c r="C36" s="195" t="str">
        <x:v>PCIEX16_2</x:v>
      </x:c>
      <x:c r="D36" s="195" t="str">
        <x:v>pcie_expansion</x:v>
      </x:c>
      <x:c r="E36" s="195" t="n">
        <x:v>4</x:v>
      </x:c>
      <x:c r="F36" s="195" t="n">
        <x:v>4</x:v>
      </x:c>
      <x:c r="G36" s="195" t="str">
        <x:v>Chipset</x:v>
      </x:c>
      <x:c r="H36" s="14"/>
      <x:c r="I36" s="14"/>
      <x:c r="J36" s="14"/>
      <x:c r="K36" s="14"/>
      <x:c r="L36" s="14"/>
      <x:c r="M36" s="14" t="str">
        <x:v>物理x16スロット</x:v>
      </x:c>
    </x:row>
    <x:row r="37" ht="58" customHeight="1">
      <x:c r="A37" s="14" t="str">
        <x:v>motherboard-asus-tuf-gaming-z790-plus-wifi-pciex4-1</x:v>
      </x:c>
      <x:c r="B37" s="14" t="str">
        <x:v>motherboard-asus-tuf-gaming-z790-plus-wifi</x:v>
      </x:c>
      <x:c r="C37" s="195" t="str">
        <x:v>PCIEX4_1</x:v>
      </x:c>
      <x:c r="D37" s="195" t="str">
        <x:v>pcie_expansion</x:v>
      </x:c>
      <x:c r="E37" s="195" t="n">
        <x:v>4</x:v>
      </x:c>
      <x:c r="F37" s="195" t="n">
        <x:v>4</x:v>
      </x:c>
      <x:c r="G37" s="195" t="str">
        <x:v>Chipset</x:v>
      </x:c>
      <x:c r="H37" s="14"/>
      <x:c r="I37" s="14"/>
      <x:c r="J37" s="14"/>
      <x:c r="K37" s="14"/>
      <x:c r="L37" s="14"/>
      <x:c r="M37" s="14"/>
    </x:row>
    <x:row r="38" ht="58" customHeight="1">
      <x:c r="A38" s="14" t="str">
        <x:v>motherboard-asus-tuf-gaming-z790-plus-wifi-pciex1-1</x:v>
      </x:c>
      <x:c r="B38" s="14" t="str">
        <x:v>motherboard-asus-tuf-gaming-z790-plus-wifi</x:v>
      </x:c>
      <x:c r="C38" s="195" t="str">
        <x:v>PCIEX1_1</x:v>
      </x:c>
      <x:c r="D38" s="195" t="str">
        <x:v>pcie_expansion</x:v>
      </x:c>
      <x:c r="E38" s="195" t="n">
        <x:v>3</x:v>
      </x:c>
      <x:c r="F38" s="195" t="n">
        <x:v>1</x:v>
      </x:c>
      <x:c r="G38" s="195" t="str">
        <x:v>Chipset</x:v>
      </x:c>
      <x:c r="H38" s="14"/>
      <x:c r="I38" s="14"/>
      <x:c r="J38" s="14"/>
      <x:c r="K38" s="14"/>
      <x:c r="L38" s="14"/>
      <x:c r="M38" s="14"/>
    </x:row>
    <x:row r="39" ht="58" customHeight="1">
      <x:c r="A39" s="14" t="str">
        <x:v>motherboard-asus-tuf-gaming-z790-plus-wifi-pciex1-2</x:v>
      </x:c>
      <x:c r="B39" s="14" t="str">
        <x:v>motherboard-asus-tuf-gaming-z790-plus-wifi</x:v>
      </x:c>
      <x:c r="C39" s="195" t="str">
        <x:v>PCIEX1_2</x:v>
      </x:c>
      <x:c r="D39" s="195" t="str">
        <x:v>pcie_expansion</x:v>
      </x:c>
      <x:c r="E39" s="195" t="n">
        <x:v>3</x:v>
      </x:c>
      <x:c r="F39" s="195" t="n">
        <x:v>1</x:v>
      </x:c>
      <x:c r="G39" s="195" t="str">
        <x:v>Chipset</x:v>
      </x:c>
      <x:c r="H39" s="14"/>
      <x:c r="I39" s="14"/>
      <x:c r="J39" s="14"/>
      <x:c r="K39" s="14"/>
      <x:c r="L39" s="14"/>
      <x:c r="M39" s="14"/>
    </x:row>
    <x:row r="40" ht="58" customHeight="1">
      <x:c r="A40" s="14" t="str">
        <x:v>motherboard-asus-tuf-gaming-z790-plus-wifi-m2-1</x:v>
      </x:c>
      <x:c r="B40" s="14" t="str">
        <x:v>motherboard-asus-tuf-gaming-z790-plus-wifi</x:v>
      </x:c>
      <x:c r="C40" s="195" t="str">
        <x:v>M2_1</x:v>
      </x:c>
      <x:c r="D40" s="195" t="str">
        <x:v>m2_storage</x:v>
      </x:c>
      <x:c r="E40" s="195" t="n">
        <x:v>4</x:v>
      </x:c>
      <x:c r="F40" s="195" t="n">
        <x:v>4</x:v>
      </x:c>
      <x:c r="G40" s="195" t="str">
        <x:v>CPU</x:v>
      </x:c>
      <x:c r="H40" s="14" t="str">
        <x:v>2242
2260
2280
22110</x:v>
      </x:c>
      <x:c r="I40" s="15" t="b">
        <x:v>1</x:v>
      </x:c>
      <x:c r="J40" s="14"/>
      <x:c r="K40" s="14"/>
      <x:c r="L40" s="14"/>
      <x:c r="M40" s="14"/>
    </x:row>
    <x:row r="41" ht="58" customHeight="1">
      <x:c r="A41" s="14" t="str">
        <x:v>motherboard-asus-tuf-gaming-z790-plus-wifi-m2-2</x:v>
      </x:c>
      <x:c r="B41" s="14" t="str">
        <x:v>motherboard-asus-tuf-gaming-z790-plus-wifi</x:v>
      </x:c>
      <x:c r="C41" s="195" t="str">
        <x:v>M2_2</x:v>
      </x:c>
      <x:c r="D41" s="195" t="str">
        <x:v>m2_storage</x:v>
      </x:c>
      <x:c r="E41" s="195" t="n">
        <x:v>4</x:v>
      </x:c>
      <x:c r="F41" s="195" t="n">
        <x:v>4</x:v>
      </x:c>
      <x:c r="G41" s="195" t="str">
        <x:v>Chipset</x:v>
      </x:c>
      <x:c r="H41" s="14" t="str">
        <x:v>2242
2260
2280</x:v>
      </x:c>
      <x:c r="I41" s="15" t="b">
        <x:v>0</x:v>
      </x:c>
      <x:c r="J41" s="14"/>
      <x:c r="K41" s="14"/>
      <x:c r="L41" s="14"/>
      <x:c r="M41" s="14"/>
    </x:row>
    <x:row r="42" ht="58" customHeight="1">
      <x:c r="A42" s="14" t="str">
        <x:v>motherboard-asus-tuf-gaming-z790-plus-wifi-m2-3</x:v>
      </x:c>
      <x:c r="B42" s="14" t="str">
        <x:v>motherboard-asus-tuf-gaming-z790-plus-wifi</x:v>
      </x:c>
      <x:c r="C42" s="195" t="str">
        <x:v>M2_3</x:v>
      </x:c>
      <x:c r="D42" s="195" t="str">
        <x:v>m2_storage</x:v>
      </x:c>
      <x:c r="E42" s="195" t="n">
        <x:v>4</x:v>
      </x:c>
      <x:c r="F42" s="195" t="n">
        <x:v>4</x:v>
      </x:c>
      <x:c r="G42" s="195" t="str">
        <x:v>Chipset</x:v>
      </x:c>
      <x:c r="H42" s="14" t="str">
        <x:v>2242
2260
2280
22110</x:v>
      </x:c>
      <x:c r="I42" s="15" t="b">
        <x:v>1</x:v>
      </x:c>
      <x:c r="J42" s="14"/>
      <x:c r="K42" s="14"/>
      <x:c r="L42" s="14"/>
      <x:c r="M42" s="14"/>
    </x:row>
    <x:row r="43" ht="58" customHeight="1">
      <x:c r="A43" s="14" t="str">
        <x:v>motherboard-asus-tuf-gaming-z790-plus-wifi-m2-4</x:v>
      </x:c>
      <x:c r="B43" s="14" t="str">
        <x:v>motherboard-asus-tuf-gaming-z790-plus-wifi</x:v>
      </x:c>
      <x:c r="C43" s="195" t="str">
        <x:v>M2_4</x:v>
      </x:c>
      <x:c r="D43" s="195" t="str">
        <x:v>m2_storage</x:v>
      </x:c>
      <x:c r="E43" s="195" t="n">
        <x:v>4</x:v>
      </x:c>
      <x:c r="F43" s="195" t="n">
        <x:v>4</x:v>
      </x:c>
      <x:c r="G43" s="195" t="str">
        <x:v>Chipset</x:v>
      </x:c>
      <x:c r="H43" s="14" t="str">
        <x:v>2242
2260
2280</x:v>
      </x:c>
      <x:c r="I43" s="15" t="b">
        <x:v>1</x:v>
      </x:c>
      <x:c r="J43" s="14"/>
      <x:c r="K43" s="14"/>
      <x:c r="L43" s="14"/>
      <x:c r="M43" s="14" t="str">
        <x:v>SATAモード対応</x:v>
      </x:c>
    </x:row>
    <x:row r="44" ht="58" customHeight="1">
      <x:c r="A44" s="14" t="str">
        <x:v>motherboard-msi-mag-z790-tomahawk-wifi-pci-e1</x:v>
      </x:c>
      <x:c r="B44" s="14" t="str">
        <x:v>motherboard-msi-mag-z790-tomahawk-wifi</x:v>
      </x:c>
      <x:c r="C44" s="195" t="str">
        <x:v>PCI_E1</x:v>
      </x:c>
      <x:c r="D44" s="195" t="str">
        <x:v>pcie_expansion</x:v>
      </x:c>
      <x:c r="E44" s="195" t="n">
        <x:v>5</x:v>
      </x:c>
      <x:c r="F44" s="195" t="n">
        <x:v>16</x:v>
      </x:c>
      <x:c r="G44" s="195" t="str">
        <x:v>CPU</x:v>
      </x:c>
      <x:c r="H44" s="14"/>
      <x:c r="I44" s="14"/>
      <x:c r="J44" s="14"/>
      <x:c r="K44" s="14"/>
      <x:c r="L44" s="14"/>
      <x:c r="M44" s="14"/>
    </x:row>
    <x:row r="45" ht="58" customHeight="1">
      <x:c r="A45" s="14" t="str">
        <x:v>motherboard-msi-mag-z790-tomahawk-wifi-pci-e2</x:v>
      </x:c>
      <x:c r="B45" s="14" t="str">
        <x:v>motherboard-msi-mag-z790-tomahawk-wifi</x:v>
      </x:c>
      <x:c r="C45" s="195" t="str">
        <x:v>PCI_E2</x:v>
      </x:c>
      <x:c r="D45" s="195" t="str">
        <x:v>pcie_expansion</x:v>
      </x:c>
      <x:c r="E45" s="195" t="n">
        <x:v>3</x:v>
      </x:c>
      <x:c r="F45" s="195" t="n">
        <x:v>1</x:v>
      </x:c>
      <x:c r="G45" s="195" t="str">
        <x:v>Chipset</x:v>
      </x:c>
      <x:c r="H45" s="14"/>
      <x:c r="I45" s="14"/>
      <x:c r="J45" s="14"/>
      <x:c r="K45" s="14"/>
      <x:c r="L45" s="14"/>
      <x:c r="M45" s="14"/>
    </x:row>
    <x:row r="46" ht="58" customHeight="1">
      <x:c r="A46" s="14" t="str">
        <x:v>motherboard-msi-mag-z790-tomahawk-wifi-pci-e3</x:v>
      </x:c>
      <x:c r="B46" s="14" t="str">
        <x:v>motherboard-msi-mag-z790-tomahawk-wifi</x:v>
      </x:c>
      <x:c r="C46" s="195" t="str">
        <x:v>PCI_E3</x:v>
      </x:c>
      <x:c r="D46" s="195" t="str">
        <x:v>pcie_expansion</x:v>
      </x:c>
      <x:c r="E46" s="195" t="n">
        <x:v>4</x:v>
      </x:c>
      <x:c r="F46" s="195" t="n">
        <x:v>4</x:v>
      </x:c>
      <x:c r="G46" s="195" t="str">
        <x:v>Chipset</x:v>
      </x:c>
      <x:c r="H46" s="14"/>
      <x:c r="I46" s="14"/>
      <x:c r="J46" s="14"/>
      <x:c r="K46" s="14"/>
      <x:c r="L46" s="14"/>
      <x:c r="M46" s="14" t="str">
        <x:v>物理x16スロット</x:v>
      </x:c>
    </x:row>
    <x:row r="47" ht="58" customHeight="1">
      <x:c r="A47" s="14" t="str">
        <x:v>motherboard-msi-mag-z790-tomahawk-wifi-m2-1</x:v>
      </x:c>
      <x:c r="B47" s="14" t="str">
        <x:v>motherboard-msi-mag-z790-tomahawk-wifi</x:v>
      </x:c>
      <x:c r="C47" s="195" t="str">
        <x:v>M2_1</x:v>
      </x:c>
      <x:c r="D47" s="195" t="str">
        <x:v>m2_storage</x:v>
      </x:c>
      <x:c r="E47" s="195" t="n">
        <x:v>4</x:v>
      </x:c>
      <x:c r="F47" s="195" t="n">
        <x:v>4</x:v>
      </x:c>
      <x:c r="G47" s="195" t="str">
        <x:v>CPU</x:v>
      </x:c>
      <x:c r="H47" s="14" t="str">
        <x:v>2260
2280
22110</x:v>
      </x:c>
      <x:c r="I47" s="15" t="b">
        <x:v>1</x:v>
      </x:c>
      <x:c r="J47" s="14"/>
      <x:c r="K47" s="14"/>
      <x:c r="L47" s="14"/>
      <x:c r="M47" s="14"/>
    </x:row>
    <x:row r="48" ht="58" customHeight="1">
      <x:c r="A48" s="14" t="str">
        <x:v>motherboard-msi-mag-z790-tomahawk-wifi-m2-2</x:v>
      </x:c>
      <x:c r="B48" s="14" t="str">
        <x:v>motherboard-msi-mag-z790-tomahawk-wifi</x:v>
      </x:c>
      <x:c r="C48" s="195" t="str">
        <x:v>M2_2</x:v>
      </x:c>
      <x:c r="D48" s="195" t="str">
        <x:v>m2_storage</x:v>
      </x:c>
      <x:c r="E48" s="195" t="n">
        <x:v>4</x:v>
      </x:c>
      <x:c r="F48" s="195" t="n">
        <x:v>4</x:v>
      </x:c>
      <x:c r="G48" s="195" t="str">
        <x:v>Chipset</x:v>
      </x:c>
      <x:c r="H48" s="14" t="str">
        <x:v>2260
2280</x:v>
      </x:c>
      <x:c r="I48" s="15" t="b">
        <x:v>1</x:v>
      </x:c>
      <x:c r="J48" s="14"/>
      <x:c r="K48" s="14"/>
      <x:c r="L48" s="14"/>
      <x:c r="M48" s="14"/>
    </x:row>
    <x:row r="49" ht="58" customHeight="1">
      <x:c r="A49" s="14" t="str">
        <x:v>motherboard-msi-mag-z790-tomahawk-wifi-m2-3</x:v>
      </x:c>
      <x:c r="B49" s="14" t="str">
        <x:v>motherboard-msi-mag-z790-tomahawk-wifi</x:v>
      </x:c>
      <x:c r="C49" s="195" t="str">
        <x:v>M2_3</x:v>
      </x:c>
      <x:c r="D49" s="195" t="str">
        <x:v>m2_storage</x:v>
      </x:c>
      <x:c r="E49" s="195" t="n">
        <x:v>4</x:v>
      </x:c>
      <x:c r="F49" s="195" t="n">
        <x:v>4</x:v>
      </x:c>
      <x:c r="G49" s="195" t="str">
        <x:v>Chipset</x:v>
      </x:c>
      <x:c r="H49" s="14" t="str">
        <x:v>2242
2260
2280</x:v>
      </x:c>
      <x:c r="I49" s="15" t="b">
        <x:v>1</x:v>
      </x:c>
      <x:c r="J49" s="14"/>
      <x:c r="K49" s="14"/>
      <x:c r="L49" s="14"/>
      <x:c r="M49" s="14" t="str">
        <x:v>SATAモード対応</x:v>
      </x:c>
    </x:row>
    <x:row r="50" ht="58" customHeight="1">
      <x:c r="A50" s="14" t="str">
        <x:v>motherboard-msi-mag-z790-tomahawk-wifi-m2-4</x:v>
      </x:c>
      <x:c r="B50" s="14" t="str">
        <x:v>motherboard-msi-mag-z790-tomahawk-wifi</x:v>
      </x:c>
      <x:c r="C50" s="195" t="str">
        <x:v>M2_4</x:v>
      </x:c>
      <x:c r="D50" s="195" t="str">
        <x:v>m2_storage</x:v>
      </x:c>
      <x:c r="E50" s="195" t="n">
        <x:v>4</x:v>
      </x:c>
      <x:c r="F50" s="195" t="n">
        <x:v>4</x:v>
      </x:c>
      <x:c r="G50" s="195" t="str">
        <x:v>Chipset</x:v>
      </x:c>
      <x:c r="H50" s="14" t="str">
        <x:v>2242
2260
2280</x:v>
      </x:c>
      <x:c r="I50" s="15" t="b">
        <x:v>1</x:v>
      </x:c>
      <x:c r="J50" s="14"/>
      <x:c r="K50" s="14"/>
      <x:c r="L50" s="14"/>
      <x:c r="M50" s="14"/>
    </x:row>
    <x:row r="51" ht="58" customHeight="1">
      <x:c r="A51" s="14" t="str">
        <x:v>motherboard-gigabyte-z890-aorus-elite-wifi7-rev-10-pciex16</x:v>
      </x:c>
      <x:c r="B51" s="14" t="str">
        <x:v>motherboard-gigabyte-z890-aorus-elite-wifi7-rev-10</x:v>
      </x:c>
      <x:c r="C51" s="195" t="str">
        <x:v>PCIEX16</x:v>
      </x:c>
      <x:c r="D51" s="195" t="str">
        <x:v>pcie_expansion</x:v>
      </x:c>
      <x:c r="E51" s="195" t="n">
        <x:v>5</x:v>
      </x:c>
      <x:c r="F51" s="195" t="n">
        <x:v>16</x:v>
      </x:c>
      <x:c r="G51" s="195" t="str">
        <x:v>CPU</x:v>
      </x:c>
      <x:c r="H51" s="14"/>
      <x:c r="I51" s="14"/>
      <x:c r="J51" s="14"/>
      <x:c r="K51" s="14"/>
      <x:c r="L51" s="14"/>
      <x:c r="M51" s="14"/>
    </x:row>
    <x:row r="52" ht="58" customHeight="1">
      <x:c r="A52" s="14" t="str">
        <x:v>motherboard-gigabyte-z890-aorus-elite-wifi7-rev-10-pciex4-1</x:v>
      </x:c>
      <x:c r="B52" s="14" t="str">
        <x:v>motherboard-gigabyte-z890-aorus-elite-wifi7-rev-10</x:v>
      </x:c>
      <x:c r="C52" s="195" t="str">
        <x:v>PCIEX4_1</x:v>
      </x:c>
      <x:c r="D52" s="195" t="str">
        <x:v>pcie_expansion</x:v>
      </x:c>
      <x:c r="E52" s="195" t="n">
        <x:v>4</x:v>
      </x:c>
      <x:c r="F52" s="195" t="n">
        <x:v>4</x:v>
      </x:c>
      <x:c r="G52" s="195" t="str">
        <x:v>Chipset</x:v>
      </x:c>
      <x:c r="H52" s="14"/>
      <x:c r="I52" s="14"/>
      <x:c r="J52" s="14"/>
      <x:c r="K52" s="14"/>
      <x:c r="L52" s="14"/>
      <x:c r="M52" s="14" t="str">
        <x:v>物理x16スロット</x:v>
      </x:c>
    </x:row>
    <x:row r="53" ht="58" customHeight="1">
      <x:c r="A53" s="14" t="str">
        <x:v>motherboard-gigabyte-z890-aorus-elite-wifi7-rev-10-pciex4-2</x:v>
      </x:c>
      <x:c r="B53" s="14" t="str">
        <x:v>motherboard-gigabyte-z890-aorus-elite-wifi7-rev-10</x:v>
      </x:c>
      <x:c r="C53" s="195" t="str">
        <x:v>PCIEX4_2</x:v>
      </x:c>
      <x:c r="D53" s="195" t="str">
        <x:v>pcie_expansion</x:v>
      </x:c>
      <x:c r="E53" s="195" t="n">
        <x:v>4</x:v>
      </x:c>
      <x:c r="F53" s="195" t="n">
        <x:v>4</x:v>
      </x:c>
      <x:c r="G53" s="195" t="str">
        <x:v>Chipset</x:v>
      </x:c>
      <x:c r="H53" s="14"/>
      <x:c r="I53" s="14"/>
      <x:c r="J53" s="14"/>
      <x:c r="K53" s="14"/>
      <x:c r="L53" s="14"/>
      <x:c r="M53" s="14" t="str">
        <x:v>物理x16スロット</x:v>
      </x:c>
    </x:row>
    <x:row r="54" ht="58" customHeight="1">
      <x:c r="A54" s="14" t="str">
        <x:v>motherboard-gigabyte-z890-aorus-elite-wifi7-rev-10-m2a-cpu</x:v>
      </x:c>
      <x:c r="B54" s="14" t="str">
        <x:v>motherboard-gigabyte-z890-aorus-elite-wifi7-rev-10</x:v>
      </x:c>
      <x:c r="C54" s="195" t="str">
        <x:v>M2A_CPU</x:v>
      </x:c>
      <x:c r="D54" s="195" t="str">
        <x:v>m2_storage</x:v>
      </x:c>
      <x:c r="E54" s="195" t="n">
        <x:v>5</x:v>
      </x:c>
      <x:c r="F54" s="195" t="n">
        <x:v>4</x:v>
      </x:c>
      <x:c r="G54" s="195" t="str">
        <x:v>CPU</x:v>
      </x:c>
      <x:c r="H54" s="14" t="str">
        <x:v>2280
22110
2580
25110</x:v>
      </x:c>
      <x:c r="I54" s="15" t="b">
        <x:v>1</x:v>
      </x:c>
      <x:c r="J54" s="14"/>
      <x:c r="K54" s="14"/>
      <x:c r="L54" s="14"/>
      <x:c r="M54" s="14"/>
    </x:row>
    <x:row r="55" ht="58" customHeight="1">
      <x:c r="A55" s="14" t="str">
        <x:v>motherboard-gigabyte-z890-aorus-elite-wifi7-rev-10-m2b-cpu</x:v>
      </x:c>
      <x:c r="B55" s="14" t="str">
        <x:v>motherboard-gigabyte-z890-aorus-elite-wifi7-rev-10</x:v>
      </x:c>
      <x:c r="C55" s="195" t="str">
        <x:v>M2B_CPU</x:v>
      </x:c>
      <x:c r="D55" s="195" t="str">
        <x:v>m2_storage</x:v>
      </x:c>
      <x:c r="E55" s="195" t="n">
        <x:v>4</x:v>
      </x:c>
      <x:c r="F55" s="195" t="n">
        <x:v>4</x:v>
      </x:c>
      <x:c r="G55" s="195" t="str">
        <x:v>CPU</x:v>
      </x:c>
      <x:c r="H55" s="14" t="str">
        <x:v>2280
22110</x:v>
      </x:c>
      <x:c r="I55" s="15" t="b">
        <x:v>1</x:v>
      </x:c>
      <x:c r="J55" s="14"/>
      <x:c r="K55" s="14"/>
      <x:c r="L55" s="14"/>
      <x:c r="M55" s="14"/>
    </x:row>
    <x:row r="56" ht="58" customHeight="1">
      <x:c r="A56" s="14" t="str">
        <x:v>motherboard-gigabyte-z890-aorus-elite-wifi7-rev-10-m2q-sb</x:v>
      </x:c>
      <x:c r="B56" s="14" t="str">
        <x:v>motherboard-gigabyte-z890-aorus-elite-wifi7-rev-10</x:v>
      </x:c>
      <x:c r="C56" s="195" t="str">
        <x:v>M2Q_SB</x:v>
      </x:c>
      <x:c r="D56" s="195" t="str">
        <x:v>m2_storage</x:v>
      </x:c>
      <x:c r="E56" s="195" t="n">
        <x:v>4</x:v>
      </x:c>
      <x:c r="F56" s="195" t="n">
        <x:v>4</x:v>
      </x:c>
      <x:c r="G56" s="195" t="str">
        <x:v>Chipset</x:v>
      </x:c>
      <x:c r="H56" s="14" t="str">
        <x:v>2280
22110
2580
25110</x:v>
      </x:c>
      <x:c r="I56" s="15" t="b">
        <x:v>1</x:v>
      </x:c>
      <x:c r="J56" s="14"/>
      <x:c r="K56" s="14"/>
      <x:c r="L56" s="14"/>
      <x:c r="M56" s="14"/>
    </x:row>
    <x:row r="57" ht="58" customHeight="1">
      <x:c r="A57" s="14" t="str">
        <x:v>motherboard-gigabyte-z890-aorus-elite-wifi7-rev-10-m2m-sb</x:v>
      </x:c>
      <x:c r="B57" s="14" t="str">
        <x:v>motherboard-gigabyte-z890-aorus-elite-wifi7-rev-10</x:v>
      </x:c>
      <x:c r="C57" s="195" t="str">
        <x:v>M2M_SB</x:v>
      </x:c>
      <x:c r="D57" s="195" t="str">
        <x:v>m2_storage</x:v>
      </x:c>
      <x:c r="E57" s="195" t="n">
        <x:v>4</x:v>
      </x:c>
      <x:c r="F57" s="195" t="n">
        <x:v>4</x:v>
      </x:c>
      <x:c r="G57" s="195" t="str">
        <x:v>Chipset</x:v>
      </x:c>
      <x:c r="H57" s="14" t="str">
        <x:v>2280
22110</x:v>
      </x:c>
      <x:c r="I57" s="15" t="b">
        <x:v>1</x:v>
      </x:c>
      <x:c r="J57" s="14"/>
      <x:c r="K57" s="14"/>
      <x:c r="L57" s="14"/>
      <x:c r="M57" s="14" t="str">
        <x:v>SATAモード対応</x:v>
      </x:c>
    </x:row>
    <x:row r="58" ht="58" customHeight="1">
      <x:c r="A58" s="14" t="str">
        <x:v>motherboard-gigabyte-z890-aorus-elite-wifi7-rev-11-pciex16</x:v>
      </x:c>
      <x:c r="B58" s="14" t="str">
        <x:v>motherboard-gigabyte-z890-aorus-elite-wifi7-rev-11</x:v>
      </x:c>
      <x:c r="C58" s="195" t="str">
        <x:v>PCIEX16</x:v>
      </x:c>
      <x:c r="D58" s="195" t="str">
        <x:v>pcie_expansion</x:v>
      </x:c>
      <x:c r="E58" s="195" t="n">
        <x:v>5</x:v>
      </x:c>
      <x:c r="F58" s="195" t="n">
        <x:v>16</x:v>
      </x:c>
      <x:c r="G58" s="195" t="str">
        <x:v>CPU</x:v>
      </x:c>
      <x:c r="H58" s="14"/>
      <x:c r="I58" s="14"/>
      <x:c r="J58" s="14"/>
      <x:c r="K58" s="14"/>
      <x:c r="L58" s="14"/>
      <x:c r="M58" s="14"/>
    </x:row>
    <x:row r="59" ht="58" customHeight="1">
      <x:c r="A59" s="14" t="str">
        <x:v>motherboard-gigabyte-z890-aorus-elite-wifi7-rev-11-pciex4-1</x:v>
      </x:c>
      <x:c r="B59" s="14" t="str">
        <x:v>motherboard-gigabyte-z890-aorus-elite-wifi7-rev-11</x:v>
      </x:c>
      <x:c r="C59" s="195" t="str">
        <x:v>PCIEX4_1</x:v>
      </x:c>
      <x:c r="D59" s="195" t="str">
        <x:v>pcie_expansion</x:v>
      </x:c>
      <x:c r="E59" s="195" t="n">
        <x:v>4</x:v>
      </x:c>
      <x:c r="F59" s="195" t="n">
        <x:v>4</x:v>
      </x:c>
      <x:c r="G59" s="195" t="str">
        <x:v>Chipset</x:v>
      </x:c>
      <x:c r="H59" s="14"/>
      <x:c r="I59" s="14"/>
      <x:c r="J59" s="14"/>
      <x:c r="K59" s="14"/>
      <x:c r="L59" s="14"/>
      <x:c r="M59" s="14" t="str">
        <x:v>物理x16スロット</x:v>
      </x:c>
    </x:row>
    <x:row r="60" ht="58" customHeight="1">
      <x:c r="A60" s="14" t="str">
        <x:v>motherboard-gigabyte-z890-aorus-elite-wifi7-rev-11-pciex4-2</x:v>
      </x:c>
      <x:c r="B60" s="14" t="str">
        <x:v>motherboard-gigabyte-z890-aorus-elite-wifi7-rev-11</x:v>
      </x:c>
      <x:c r="C60" s="195" t="str">
        <x:v>PCIEX4_2</x:v>
      </x:c>
      <x:c r="D60" s="195" t="str">
        <x:v>pcie_expansion</x:v>
      </x:c>
      <x:c r="E60" s="195" t="n">
        <x:v>4</x:v>
      </x:c>
      <x:c r="F60" s="195" t="n">
        <x:v>4</x:v>
      </x:c>
      <x:c r="G60" s="195" t="str">
        <x:v>Chipset</x:v>
      </x:c>
      <x:c r="H60" s="14"/>
      <x:c r="I60" s="14"/>
      <x:c r="J60" s="14"/>
      <x:c r="K60" s="14"/>
      <x:c r="L60" s="14"/>
      <x:c r="M60" s="14" t="str">
        <x:v>物理x16スロット</x:v>
      </x:c>
    </x:row>
    <x:row r="61" ht="58" customHeight="1">
      <x:c r="A61" s="14" t="str">
        <x:v>motherboard-gigabyte-z890-aorus-elite-wifi7-rev-11-m2a-cpu</x:v>
      </x:c>
      <x:c r="B61" s="14" t="str">
        <x:v>motherboard-gigabyte-z890-aorus-elite-wifi7-rev-11</x:v>
      </x:c>
      <x:c r="C61" s="195" t="str">
        <x:v>M2A_CPU</x:v>
      </x:c>
      <x:c r="D61" s="195" t="str">
        <x:v>m2_storage</x:v>
      </x:c>
      <x:c r="E61" s="195" t="n">
        <x:v>5</x:v>
      </x:c>
      <x:c r="F61" s="195" t="n">
        <x:v>4</x:v>
      </x:c>
      <x:c r="G61" s="195" t="str">
        <x:v>CPU</x:v>
      </x:c>
      <x:c r="H61" s="14" t="str">
        <x:v>2280
22110
2580
25110</x:v>
      </x:c>
      <x:c r="I61" s="15" t="b">
        <x:v>1</x:v>
      </x:c>
      <x:c r="J61" s="14"/>
      <x:c r="K61" s="14"/>
      <x:c r="L61" s="14"/>
      <x:c r="M61" s="14"/>
    </x:row>
    <x:row r="62" ht="58" customHeight="1">
      <x:c r="A62" s="14" t="str">
        <x:v>motherboard-gigabyte-z890-aorus-elite-wifi7-rev-11-m2b-cpu</x:v>
      </x:c>
      <x:c r="B62" s="14" t="str">
        <x:v>motherboard-gigabyte-z890-aorus-elite-wifi7-rev-11</x:v>
      </x:c>
      <x:c r="C62" s="195" t="str">
        <x:v>M2B_CPU</x:v>
      </x:c>
      <x:c r="D62" s="195" t="str">
        <x:v>m2_storage</x:v>
      </x:c>
      <x:c r="E62" s="195" t="n">
        <x:v>4</x:v>
      </x:c>
      <x:c r="F62" s="195" t="n">
        <x:v>4</x:v>
      </x:c>
      <x:c r="G62" s="195" t="str">
        <x:v>CPU</x:v>
      </x:c>
      <x:c r="H62" s="14" t="str">
        <x:v>2280
22110</x:v>
      </x:c>
      <x:c r="I62" s="15" t="b">
        <x:v>1</x:v>
      </x:c>
      <x:c r="J62" s="14"/>
      <x:c r="K62" s="14"/>
      <x:c r="L62" s="14"/>
      <x:c r="M62" s="14"/>
    </x:row>
    <x:row r="63" ht="58" customHeight="1">
      <x:c r="A63" s="14" t="str">
        <x:v>motherboard-gigabyte-z890-aorus-elite-wifi7-rev-11-m2q-sb</x:v>
      </x:c>
      <x:c r="B63" s="14" t="str">
        <x:v>motherboard-gigabyte-z890-aorus-elite-wifi7-rev-11</x:v>
      </x:c>
      <x:c r="C63" s="195" t="str">
        <x:v>M2Q_SB</x:v>
      </x:c>
      <x:c r="D63" s="195" t="str">
        <x:v>m2_storage</x:v>
      </x:c>
      <x:c r="E63" s="195" t="n">
        <x:v>4</x:v>
      </x:c>
      <x:c r="F63" s="195" t="n">
        <x:v>4</x:v>
      </x:c>
      <x:c r="G63" s="195" t="str">
        <x:v>Chipset</x:v>
      </x:c>
      <x:c r="H63" s="14" t="str">
        <x:v>2280
22110
2580
25110</x:v>
      </x:c>
      <x:c r="I63" s="15" t="b">
        <x:v>1</x:v>
      </x:c>
      <x:c r="J63" s="14"/>
      <x:c r="K63" s="14"/>
      <x:c r="L63" s="14"/>
      <x:c r="M63" s="14"/>
    </x:row>
    <x:row r="64" ht="58" customHeight="1">
      <x:c r="A64" s="14" t="str">
        <x:v>motherboard-gigabyte-z890-aorus-elite-wifi7-rev-11-m2m-sb</x:v>
      </x:c>
      <x:c r="B64" s="14" t="str">
        <x:v>motherboard-gigabyte-z890-aorus-elite-wifi7-rev-11</x:v>
      </x:c>
      <x:c r="C64" s="195" t="str">
        <x:v>M2M_SB</x:v>
      </x:c>
      <x:c r="D64" s="195" t="str">
        <x:v>m2_storage</x:v>
      </x:c>
      <x:c r="E64" s="195" t="n">
        <x:v>4</x:v>
      </x:c>
      <x:c r="F64" s="195" t="n">
        <x:v>4</x:v>
      </x:c>
      <x:c r="G64" s="195" t="str">
        <x:v>Chipset</x:v>
      </x:c>
      <x:c r="H64" s="14" t="str">
        <x:v>2280
22110</x:v>
      </x:c>
      <x:c r="I64" s="15" t="b">
        <x:v>1</x:v>
      </x:c>
      <x:c r="J64" s="14"/>
      <x:c r="K64" s="14"/>
      <x:c r="L64" s="14"/>
      <x:c r="M64" s="14" t="str">
        <x:v>SATAモード対応</x:v>
      </x:c>
    </x:row>
    <x:row r="65" ht="58" customHeight="1">
      <x:c r="A65" s="14" t="str">
        <x:v>motherboard-asrock-z890-steel-legend-wifi-pcie1</x:v>
      </x:c>
      <x:c r="B65" s="14" t="str">
        <x:v>motherboard-asrock-z890-steel-legend-wifi</x:v>
      </x:c>
      <x:c r="C65" s="195" t="str">
        <x:v>PCIE1</x:v>
      </x:c>
      <x:c r="D65" s="195" t="str">
        <x:v>pcie_expansion</x:v>
      </x:c>
      <x:c r="E65" s="195" t="n">
        <x:v>5</x:v>
      </x:c>
      <x:c r="F65" s="195" t="n">
        <x:v>16</x:v>
      </x:c>
      <x:c r="G65" s="195" t="str">
        <x:v>CPU</x:v>
      </x:c>
      <x:c r="H65" s="14"/>
      <x:c r="I65" s="14"/>
      <x:c r="J65" s="14"/>
      <x:c r="K65" s="14"/>
      <x:c r="L65" s="14"/>
      <x:c r="M65" s="14"/>
    </x:row>
    <x:row r="66" ht="58" customHeight="1">
      <x:c r="A66" s="14" t="str">
        <x:v>motherboard-asrock-z890-steel-legend-wifi-pcie2</x:v>
      </x:c>
      <x:c r="B66" s="14" t="str">
        <x:v>motherboard-asrock-z890-steel-legend-wifi</x:v>
      </x:c>
      <x:c r="C66" s="195" t="str">
        <x:v>PCIE2</x:v>
      </x:c>
      <x:c r="D66" s="195" t="str">
        <x:v>pcie_expansion</x:v>
      </x:c>
      <x:c r="E66" s="195" t="n">
        <x:v>4</x:v>
      </x:c>
      <x:c r="F66" s="195" t="n">
        <x:v>4</x:v>
      </x:c>
      <x:c r="G66" s="195" t="str">
        <x:v>Chipset</x:v>
      </x:c>
      <x:c r="H66" s="14"/>
      <x:c r="I66" s="14"/>
      <x:c r="J66" s="14"/>
      <x:c r="K66" s="14"/>
      <x:c r="L66" s="14"/>
      <x:c r="M66" s="14" t="str">
        <x:v>物理x16スロット</x:v>
      </x:c>
    </x:row>
    <x:row r="67" ht="58" customHeight="1">
      <x:c r="A67" s="14" t="str">
        <x:v>motherboard-asrock-z890-steel-legend-wifi-pcie3</x:v>
      </x:c>
      <x:c r="B67" s="14" t="str">
        <x:v>motherboard-asrock-z890-steel-legend-wifi</x:v>
      </x:c>
      <x:c r="C67" s="195" t="str">
        <x:v>PCIE3</x:v>
      </x:c>
      <x:c r="D67" s="195" t="str">
        <x:v>pcie_expansion</x:v>
      </x:c>
      <x:c r="E67" s="195" t="n">
        <x:v>4</x:v>
      </x:c>
      <x:c r="F67" s="195" t="n">
        <x:v>4</x:v>
      </x:c>
      <x:c r="G67" s="195" t="str">
        <x:v>Chipset</x:v>
      </x:c>
      <x:c r="H67" s="14"/>
      <x:c r="I67" s="14"/>
      <x:c r="J67" s="14"/>
      <x:c r="K67" s="14"/>
      <x:c r="L67" s="14"/>
      <x:c r="M67" s="14"/>
    </x:row>
    <x:row r="68" ht="58" customHeight="1">
      <x:c r="A68" s="14" t="str">
        <x:v>motherboard-asrock-z890-steel-legend-wifi-m2-1</x:v>
      </x:c>
      <x:c r="B68" s="14" t="str">
        <x:v>motherboard-asrock-z890-steel-legend-wifi</x:v>
      </x:c>
      <x:c r="C68" s="195" t="str">
        <x:v>M2_1</x:v>
      </x:c>
      <x:c r="D68" s="195" t="str">
        <x:v>m2_storage</x:v>
      </x:c>
      <x:c r="E68" s="195" t="n">
        <x:v>5</x:v>
      </x:c>
      <x:c r="F68" s="195" t="n">
        <x:v>4</x:v>
      </x:c>
      <x:c r="G68" s="195" t="str">
        <x:v>CPU</x:v>
      </x:c>
      <x:c r="H68" s="14" t="str">
        <x:v>2280</x:v>
      </x:c>
      <x:c r="I68" s="15" t="b">
        <x:v>1</x:v>
      </x:c>
      <x:c r="J68" s="14"/>
      <x:c r="K68" s="14"/>
      <x:c r="L68" s="14"/>
      <x:c r="M68" s="14"/>
    </x:row>
    <x:row r="69" ht="58" customHeight="1">
      <x:c r="A69" s="14" t="str">
        <x:v>motherboard-asrock-z890-steel-legend-wifi-m2-2</x:v>
      </x:c>
      <x:c r="B69" s="14" t="str">
        <x:v>motherboard-asrock-z890-steel-legend-wifi</x:v>
      </x:c>
      <x:c r="C69" s="195" t="str">
        <x:v>M2_2</x:v>
      </x:c>
      <x:c r="D69" s="195" t="str">
        <x:v>m2_storage</x:v>
      </x:c>
      <x:c r="E69" s="195" t="n">
        <x:v>4</x:v>
      </x:c>
      <x:c r="F69" s="195" t="n">
        <x:v>4</x:v>
      </x:c>
      <x:c r="G69" s="195" t="str">
        <x:v>CPU</x:v>
      </x:c>
      <x:c r="H69" s="14" t="str">
        <x:v>2280</x:v>
      </x:c>
      <x:c r="I69" s="15" t="b">
        <x:v>0</x:v>
      </x:c>
      <x:c r="J69" s="14"/>
      <x:c r="K69" s="14"/>
      <x:c r="L69" s="14"/>
      <x:c r="M69" s="14"/>
    </x:row>
    <x:row r="70" ht="58" customHeight="1">
      <x:c r="A70" s="14" t="str">
        <x:v>motherboard-asrock-z890-steel-legend-wifi-m2-3</x:v>
      </x:c>
      <x:c r="B70" s="14" t="str">
        <x:v>motherboard-asrock-z890-steel-legend-wifi</x:v>
      </x:c>
      <x:c r="C70" s="195" t="str">
        <x:v>M2_3</x:v>
      </x:c>
      <x:c r="D70" s="195" t="str">
        <x:v>m2_storage</x:v>
      </x:c>
      <x:c r="E70" s="195" t="n">
        <x:v>4</x:v>
      </x:c>
      <x:c r="F70" s="195" t="n">
        <x:v>4</x:v>
      </x:c>
      <x:c r="G70" s="195" t="str">
        <x:v>Chipset</x:v>
      </x:c>
      <x:c r="H70" s="14" t="str">
        <x:v>2280</x:v>
      </x:c>
      <x:c r="I70" s="15" t="b">
        <x:v>1</x:v>
      </x:c>
      <x:c r="J70" s="14"/>
      <x:c r="K70" s="14"/>
      <x:c r="L70" s="14"/>
      <x:c r="M70" s="14" t="str">
        <x:v>SATAモード対応</x:v>
      </x:c>
    </x:row>
    <x:row r="71" ht="58" customHeight="1">
      <x:c r="A71" s="14" t="str">
        <x:v>motherboard-asrock-z890-steel-legend-wifi-m2-4</x:v>
      </x:c>
      <x:c r="B71" s="14" t="str">
        <x:v>motherboard-asrock-z890-steel-legend-wifi</x:v>
      </x:c>
      <x:c r="C71" s="195" t="str">
        <x:v>M2_4</x:v>
      </x:c>
      <x:c r="D71" s="195" t="str">
        <x:v>m2_storage</x:v>
      </x:c>
      <x:c r="E71" s="195" t="n">
        <x:v>4</x:v>
      </x:c>
      <x:c r="F71" s="195" t="n">
        <x:v>4</x:v>
      </x:c>
      <x:c r="G71" s="195" t="str">
        <x:v>Chipset</x:v>
      </x:c>
      <x:c r="H71" s="14" t="str">
        <x:v>2230
2242
2260
2280</x:v>
      </x:c>
      <x:c r="I71" s="15" t="b">
        <x:v>1</x:v>
      </x:c>
      <x:c r="J71" s="14"/>
      <x:c r="K71" s="14"/>
      <x:c r="L71" s="14"/>
      <x:c r="M71" s="14"/>
    </x:row>
    <x:row r="72" ht="58" customHeight="1">
      <x:c r="A72" s="14"/>
      <x:c r="B72" s="14"/>
      <x:c r="C72" s="195"/>
      <x:c r="D72" s="195"/>
      <x:c r="E72" s="195"/>
      <x:c r="F72" s="195"/>
      <x:c r="G72" s="195"/>
      <x:c r="H72" s="14"/>
      <x:c r="I72" s="14"/>
      <x:c r="J72" s="14"/>
      <x:c r="K72" s="14"/>
      <x:c r="L72" s="14"/>
      <x:c r="M72" s="14"/>
    </x:row>
    <x:row r="73" ht="58" customHeight="1">
      <x:c r="A73" s="14"/>
      <x:c r="B73" s="14"/>
      <x:c r="C73" s="195"/>
      <x:c r="D73" s="195"/>
      <x:c r="E73" s="195"/>
      <x:c r="F73" s="195"/>
      <x:c r="G73" s="195"/>
      <x:c r="H73" s="14"/>
      <x:c r="I73" s="14"/>
      <x:c r="J73" s="14"/>
      <x:c r="K73" s="14"/>
      <x:c r="L73" s="14"/>
      <x:c r="M73" s="14"/>
    </x:row>
    <x:row r="74" ht="58" customHeight="1">
      <x:c r="A74" s="14"/>
      <x:c r="B74" s="14"/>
      <x:c r="C74" s="195"/>
      <x:c r="D74" s="195"/>
      <x:c r="E74" s="195"/>
      <x:c r="F74" s="195"/>
      <x:c r="G74" s="195"/>
      <x:c r="H74" s="14"/>
      <x:c r="I74" s="14"/>
      <x:c r="J74" s="14"/>
      <x:c r="K74" s="14"/>
      <x:c r="L74" s="14"/>
      <x:c r="M74" s="14"/>
    </x:row>
    <x:row r="75" ht="58" customHeight="1">
      <x:c r="A75" s="14"/>
      <x:c r="B75" s="14"/>
      <x:c r="C75" s="195"/>
      <x:c r="D75" s="195"/>
      <x:c r="E75" s="195"/>
      <x:c r="F75" s="195"/>
      <x:c r="G75" s="195"/>
      <x:c r="H75" s="14"/>
      <x:c r="I75" s="14"/>
      <x:c r="J75" s="14"/>
      <x:c r="K75" s="14"/>
      <x:c r="L75" s="14"/>
      <x:c r="M75" s="14"/>
    </x:row>
    <x:row r="76" ht="58" customHeight="1">
      <x:c r="A76" s="14"/>
      <x:c r="B76" s="14"/>
      <x:c r="C76" s="195"/>
      <x:c r="D76" s="195"/>
      <x:c r="E76" s="195"/>
      <x:c r="F76" s="195"/>
      <x:c r="G76" s="195"/>
      <x:c r="H76" s="14"/>
      <x:c r="I76" s="14"/>
      <x:c r="J76" s="14"/>
      <x:c r="K76" s="14"/>
      <x:c r="L76" s="14"/>
      <x:c r="M76" s="14"/>
    </x:row>
    <x:row r="77" ht="58" customHeight="1">
      <x:c r="A77" s="14"/>
      <x:c r="B77" s="14"/>
      <x:c r="C77" s="195"/>
      <x:c r="D77" s="195"/>
      <x:c r="E77" s="195"/>
      <x:c r="F77" s="195"/>
      <x:c r="G77" s="195"/>
      <x:c r="H77" s="14"/>
      <x:c r="I77" s="14"/>
      <x:c r="J77" s="14"/>
      <x:c r="K77" s="14"/>
      <x:c r="L77" s="14"/>
      <x:c r="M77" s="14"/>
    </x:row>
    <x:row r="78" ht="58" customHeight="1">
      <x:c r="A78" s="14"/>
      <x:c r="B78" s="14"/>
      <x:c r="C78" s="195"/>
      <x:c r="D78" s="195"/>
      <x:c r="E78" s="195"/>
      <x:c r="F78" s="195"/>
      <x:c r="G78" s="195"/>
      <x:c r="H78" s="14"/>
      <x:c r="I78" s="14"/>
      <x:c r="J78" s="14"/>
      <x:c r="K78" s="14"/>
      <x:c r="L78" s="14"/>
      <x:c r="M78" s="14"/>
    </x:row>
    <x:row r="79" ht="58" customHeight="1">
      <x:c r="A79" s="14"/>
      <x:c r="B79" s="14"/>
      <x:c r="C79" s="195"/>
      <x:c r="D79" s="195"/>
      <x:c r="E79" s="195"/>
      <x:c r="F79" s="195"/>
      <x:c r="G79" s="195"/>
      <x:c r="H79" s="14"/>
      <x:c r="I79" s="14"/>
      <x:c r="J79" s="14"/>
      <x:c r="K79" s="14"/>
      <x:c r="L79" s="14"/>
      <x:c r="M79" s="14"/>
    </x:row>
    <x:row r="80" ht="58" customHeight="1">
      <x:c r="A80" s="14"/>
      <x:c r="B80" s="14"/>
      <x:c r="C80" s="195"/>
      <x:c r="D80" s="195"/>
      <x:c r="E80" s="195"/>
      <x:c r="F80" s="195"/>
      <x:c r="G80" s="195"/>
      <x:c r="H80" s="14"/>
      <x:c r="I80" s="14"/>
      <x:c r="J80" s="14"/>
      <x:c r="K80" s="14"/>
      <x:c r="L80" s="14"/>
      <x:c r="M80" s="14"/>
    </x:row>
    <x:row r="81" ht="58" customHeight="1">
      <x:c r="A81" s="14"/>
      <x:c r="B81" s="14"/>
      <x:c r="C81" s="195"/>
      <x:c r="D81" s="195"/>
      <x:c r="E81" s="195"/>
      <x:c r="F81" s="195"/>
      <x:c r="G81" s="195"/>
      <x:c r="H81" s="14"/>
      <x:c r="I81" s="14"/>
      <x:c r="J81" s="14"/>
      <x:c r="K81" s="14"/>
      <x:c r="L81" s="14"/>
      <x:c r="M81" s="14"/>
    </x:row>
    <x:row r="82" ht="58" customHeight="1">
      <x:c r="A82" s="14"/>
      <x:c r="B82" s="14"/>
      <x:c r="C82" s="195"/>
      <x:c r="D82" s="195"/>
      <x:c r="E82" s="195"/>
      <x:c r="F82" s="195"/>
      <x:c r="G82" s="195"/>
      <x:c r="H82" s="14"/>
      <x:c r="I82" s="14"/>
      <x:c r="J82" s="14"/>
      <x:c r="K82" s="14"/>
      <x:c r="L82" s="14"/>
      <x:c r="M82" s="14"/>
    </x:row>
    <x:row r="83" ht="58" customHeight="1">
      <x:c r="A83" s="14"/>
      <x:c r="B83" s="14"/>
      <x:c r="C83" s="195"/>
      <x:c r="D83" s="195"/>
      <x:c r="E83" s="195"/>
      <x:c r="F83" s="195"/>
      <x:c r="G83" s="195"/>
      <x:c r="H83" s="14"/>
      <x:c r="I83" s="14"/>
      <x:c r="J83" s="14"/>
      <x:c r="K83" s="14"/>
      <x:c r="L83" s="14"/>
      <x:c r="M83" s="14"/>
    </x:row>
    <x:row r="84" ht="58" customHeight="1">
      <x:c r="A84" s="14"/>
      <x:c r="B84" s="14"/>
      <x:c r="C84" s="195"/>
      <x:c r="D84" s="195"/>
      <x:c r="E84" s="195"/>
      <x:c r="F84" s="195"/>
      <x:c r="G84" s="195"/>
      <x:c r="H84" s="14"/>
      <x:c r="I84" s="14"/>
      <x:c r="J84" s="14"/>
      <x:c r="K84" s="14"/>
      <x:c r="L84" s="14"/>
      <x:c r="M84" s="14"/>
    </x:row>
    <x:row r="85" ht="58" customHeight="1">
      <x:c r="A85" s="14"/>
      <x:c r="B85" s="14"/>
      <x:c r="C85" s="195"/>
      <x:c r="D85" s="195"/>
      <x:c r="E85" s="195"/>
      <x:c r="F85" s="195"/>
      <x:c r="G85" s="195"/>
      <x:c r="H85" s="14"/>
      <x:c r="I85" s="14"/>
      <x:c r="J85" s="14"/>
      <x:c r="K85" s="14"/>
      <x:c r="L85" s="14"/>
      <x:c r="M85" s="14"/>
    </x:row>
    <x:row r="86" ht="58" customHeight="1">
      <x:c r="A86" s="14"/>
      <x:c r="B86" s="14"/>
      <x:c r="C86" s="195"/>
      <x:c r="D86" s="195"/>
      <x:c r="E86" s="195"/>
      <x:c r="F86" s="195"/>
      <x:c r="G86" s="195"/>
      <x:c r="H86" s="14"/>
      <x:c r="I86" s="14"/>
      <x:c r="J86" s="14"/>
      <x:c r="K86" s="14"/>
      <x:c r="L86" s="14"/>
      <x:c r="M86" s="14"/>
    </x:row>
    <x:row r="87" ht="58" customHeight="1">
      <x:c r="A87" s="14"/>
      <x:c r="B87" s="14"/>
      <x:c r="C87" s="195"/>
      <x:c r="D87" s="195"/>
      <x:c r="E87" s="195"/>
      <x:c r="F87" s="195"/>
      <x:c r="G87" s="195"/>
      <x:c r="H87" s="14"/>
      <x:c r="I87" s="14"/>
      <x:c r="J87" s="14"/>
      <x:c r="K87" s="14"/>
      <x:c r="L87" s="14"/>
      <x:c r="M87" s="14"/>
    </x:row>
    <x:row r="88" ht="58" customHeight="1">
      <x:c r="A88" s="14"/>
      <x:c r="B88" s="14"/>
      <x:c r="C88" s="195"/>
      <x:c r="D88" s="195"/>
      <x:c r="E88" s="195"/>
      <x:c r="F88" s="195"/>
      <x:c r="G88" s="195"/>
      <x:c r="H88" s="14"/>
      <x:c r="I88" s="14"/>
      <x:c r="J88" s="14"/>
      <x:c r="K88" s="14"/>
      <x:c r="L88" s="14"/>
      <x:c r="M88" s="14"/>
    </x:row>
    <x:row r="89" ht="58" customHeight="1">
      <x:c r="A89" s="14"/>
      <x:c r="B89" s="14"/>
      <x:c r="C89" s="195"/>
      <x:c r="D89" s="195"/>
      <x:c r="E89" s="195"/>
      <x:c r="F89" s="195"/>
      <x:c r="G89" s="195"/>
      <x:c r="H89" s="14"/>
      <x:c r="I89" s="14"/>
      <x:c r="J89" s="14"/>
      <x:c r="K89" s="14"/>
      <x:c r="L89" s="14"/>
      <x:c r="M89" s="14"/>
    </x:row>
    <x:row r="90" ht="58" customHeight="1">
      <x:c r="A90" s="14"/>
      <x:c r="B90" s="14"/>
      <x:c r="C90" s="195"/>
      <x:c r="D90" s="195"/>
      <x:c r="E90" s="195"/>
      <x:c r="F90" s="195"/>
      <x:c r="G90" s="195"/>
      <x:c r="H90" s="14"/>
      <x:c r="I90" s="14"/>
      <x:c r="J90" s="14"/>
      <x:c r="K90" s="14"/>
      <x:c r="L90" s="14"/>
      <x:c r="M90" s="14"/>
    </x:row>
    <x:row r="91" ht="58" customHeight="1">
      <x:c r="A91" s="14"/>
      <x:c r="B91" s="14"/>
      <x:c r="C91" s="195"/>
      <x:c r="D91" s="195"/>
      <x:c r="E91" s="195"/>
      <x:c r="F91" s="195"/>
      <x:c r="G91" s="195"/>
      <x:c r="H91" s="14"/>
      <x:c r="I91" s="14"/>
      <x:c r="J91" s="14"/>
      <x:c r="K91" s="14"/>
      <x:c r="L91" s="14"/>
      <x:c r="M91" s="14"/>
    </x:row>
    <x:row r="92" ht="58" customHeight="1">
      <x:c r="A92" s="14"/>
      <x:c r="B92" s="14"/>
      <x:c r="C92" s="195"/>
      <x:c r="D92" s="195"/>
      <x:c r="E92" s="195"/>
      <x:c r="F92" s="195"/>
      <x:c r="G92" s="195"/>
      <x:c r="H92" s="14"/>
      <x:c r="I92" s="14"/>
      <x:c r="J92" s="14"/>
      <x:c r="K92" s="14"/>
      <x:c r="L92" s="14"/>
      <x:c r="M92" s="14"/>
    </x:row>
    <x:row r="93" ht="58" customHeight="1">
      <x:c r="A93" s="14"/>
      <x:c r="B93" s="14"/>
      <x:c r="C93" s="195"/>
      <x:c r="D93" s="195"/>
      <x:c r="E93" s="195"/>
      <x:c r="F93" s="195"/>
      <x:c r="G93" s="195"/>
      <x:c r="H93" s="14"/>
      <x:c r="I93" s="14"/>
      <x:c r="J93" s="14"/>
      <x:c r="K93" s="14"/>
      <x:c r="L93" s="14"/>
      <x:c r="M93" s="14"/>
    </x:row>
    <x:row r="94" ht="58" customHeight="1">
      <x:c r="A94" s="14"/>
      <x:c r="B94" s="14"/>
      <x:c r="C94" s="195"/>
      <x:c r="D94" s="195"/>
      <x:c r="E94" s="195"/>
      <x:c r="F94" s="195"/>
      <x:c r="G94" s="195"/>
      <x:c r="H94" s="14"/>
      <x:c r="I94" s="14"/>
      <x:c r="J94" s="14"/>
      <x:c r="K94" s="14"/>
      <x:c r="L94" s="14"/>
      <x:c r="M94" s="14"/>
    </x:row>
    <x:row r="95" ht="58" customHeight="1">
      <x:c r="A95" s="14"/>
      <x:c r="B95" s="14"/>
      <x:c r="C95" s="195"/>
      <x:c r="D95" s="195"/>
      <x:c r="E95" s="195"/>
      <x:c r="F95" s="195"/>
      <x:c r="G95" s="195"/>
      <x:c r="H95" s="14"/>
      <x:c r="I95" s="14"/>
      <x:c r="J95" s="14"/>
      <x:c r="K95" s="14"/>
      <x:c r="L95" s="14"/>
      <x:c r="M95" s="14"/>
    </x:row>
    <x:row r="96" ht="58" customHeight="1">
      <x:c r="A96" s="14"/>
      <x:c r="B96" s="14"/>
      <x:c r="C96" s="195"/>
      <x:c r="D96" s="195"/>
      <x:c r="E96" s="195"/>
      <x:c r="F96" s="195"/>
      <x:c r="G96" s="195"/>
      <x:c r="H96" s="14"/>
      <x:c r="I96" s="14"/>
      <x:c r="J96" s="14"/>
      <x:c r="K96" s="14"/>
      <x:c r="L96" s="14"/>
      <x:c r="M96" s="14"/>
    </x:row>
    <x:row r="97" ht="58" customHeight="1">
      <x:c r="A97" s="14"/>
      <x:c r="B97" s="14"/>
      <x:c r="C97" s="195"/>
      <x:c r="D97" s="195"/>
      <x:c r="E97" s="195"/>
      <x:c r="F97" s="195"/>
      <x:c r="G97" s="195"/>
      <x:c r="H97" s="14"/>
      <x:c r="I97" s="14"/>
      <x:c r="J97" s="14"/>
      <x:c r="K97" s="14"/>
      <x:c r="L97" s="14"/>
      <x:c r="M97" s="14"/>
    </x:row>
    <x:row r="98" ht="58" customHeight="1">
      <x:c r="A98" s="14"/>
      <x:c r="B98" s="14"/>
      <x:c r="C98" s="195"/>
      <x:c r="D98" s="195"/>
      <x:c r="E98" s="195"/>
      <x:c r="F98" s="195"/>
      <x:c r="G98" s="195"/>
      <x:c r="H98" s="14"/>
      <x:c r="I98" s="14"/>
      <x:c r="J98" s="14"/>
      <x:c r="K98" s="14"/>
      <x:c r="L98" s="14"/>
      <x:c r="M98" s="14"/>
    </x:row>
    <x:row r="99" ht="58" customHeight="1">
      <x:c r="A99" s="14"/>
      <x:c r="B99" s="14"/>
      <x:c r="C99" s="195"/>
      <x:c r="D99" s="195"/>
      <x:c r="E99" s="195"/>
      <x:c r="F99" s="195"/>
      <x:c r="G99" s="195"/>
      <x:c r="H99" s="14"/>
      <x:c r="I99" s="14"/>
      <x:c r="J99" s="14"/>
      <x:c r="K99" s="14"/>
      <x:c r="L99" s="14"/>
      <x:c r="M99" s="14"/>
    </x:row>
    <x:row r="100" ht="58" customHeight="1">
      <x:c r="A100" s="14"/>
      <x:c r="B100" s="14"/>
      <x:c r="C100" s="195"/>
      <x:c r="D100" s="195"/>
      <x:c r="E100" s="195"/>
      <x:c r="F100" s="195"/>
      <x:c r="G100" s="195"/>
      <x:c r="H100" s="14"/>
      <x:c r="I100" s="14"/>
      <x:c r="J100" s="14"/>
      <x:c r="K100" s="14"/>
      <x:c r="L100" s="14"/>
      <x:c r="M100" s="14"/>
    </x:row>
    <x:row r="101" ht="58" customHeight="1">
      <x:c r="A101" s="14"/>
      <x:c r="B101" s="14"/>
      <x:c r="C101" s="195"/>
      <x:c r="D101" s="195"/>
      <x:c r="E101" s="195"/>
      <x:c r="F101" s="195"/>
      <x:c r="G101" s="195"/>
      <x:c r="H101" s="14"/>
      <x:c r="I101" s="14"/>
      <x:c r="J101" s="14"/>
      <x:c r="K101" s="14"/>
      <x:c r="L101" s="14"/>
      <x:c r="M101" s="14"/>
    </x:row>
    <x:row r="102" ht="58" customHeight="1">
      <x:c r="A102" s="14"/>
      <x:c r="B102" s="14"/>
      <x:c r="C102" s="195"/>
      <x:c r="D102" s="195"/>
      <x:c r="E102" s="195"/>
      <x:c r="F102" s="195"/>
      <x:c r="G102" s="195"/>
      <x:c r="H102" s="14"/>
      <x:c r="I102" s="14"/>
      <x:c r="J102" s="14"/>
      <x:c r="K102" s="14"/>
      <x:c r="L102" s="14"/>
      <x:c r="M102" s="14"/>
    </x:row>
    <x:row r="103" ht="58" customHeight="1">
      <x:c r="A103" s="14"/>
      <x:c r="B103" s="14"/>
      <x:c r="C103" s="195"/>
      <x:c r="D103" s="195"/>
      <x:c r="E103" s="195"/>
      <x:c r="F103" s="195"/>
      <x:c r="G103" s="195"/>
      <x:c r="H103" s="14"/>
      <x:c r="I103" s="14"/>
      <x:c r="J103" s="14"/>
      <x:c r="K103" s="14"/>
      <x:c r="L103" s="14"/>
      <x:c r="M103" s="14"/>
    </x:row>
    <x:row r="104" ht="58" customHeight="1">
      <x:c r="A104" s="14"/>
      <x:c r="B104" s="14"/>
      <x:c r="C104" s="195"/>
      <x:c r="D104" s="195"/>
      <x:c r="E104" s="195"/>
      <x:c r="F104" s="195"/>
      <x:c r="G104" s="195"/>
      <x:c r="H104" s="14"/>
      <x:c r="I104" s="14"/>
      <x:c r="J104" s="14"/>
      <x:c r="K104" s="14"/>
      <x:c r="L104" s="14"/>
      <x:c r="M104" s="14"/>
    </x:row>
    <x:row r="105" ht="58" customHeight="1">
      <x:c r="A105" s="14"/>
      <x:c r="B105" s="14"/>
      <x:c r="C105" s="195"/>
      <x:c r="D105" s="195"/>
      <x:c r="E105" s="195"/>
      <x:c r="F105" s="195"/>
      <x:c r="G105" s="195"/>
      <x:c r="H105" s="14"/>
      <x:c r="I105" s="14"/>
      <x:c r="J105" s="14"/>
      <x:c r="K105" s="14"/>
      <x:c r="L105" s="14"/>
      <x:c r="M105" s="14"/>
    </x:row>
    <x:row r="106" ht="58" customHeight="1">
      <x:c r="A106" s="14"/>
      <x:c r="B106" s="14"/>
      <x:c r="C106" s="195"/>
      <x:c r="D106" s="195"/>
      <x:c r="E106" s="195"/>
      <x:c r="F106" s="195"/>
      <x:c r="G106" s="195"/>
      <x:c r="H106" s="14"/>
      <x:c r="I106" s="14"/>
      <x:c r="J106" s="14"/>
      <x:c r="K106" s="14"/>
      <x:c r="L106" s="14"/>
      <x:c r="M106" s="14"/>
    </x:row>
    <x:row r="107" ht="58" customHeight="1">
      <x:c r="A107" s="14"/>
      <x:c r="B107" s="14"/>
      <x:c r="C107" s="195"/>
      <x:c r="D107" s="195"/>
      <x:c r="E107" s="195"/>
      <x:c r="F107" s="195"/>
      <x:c r="G107" s="195"/>
      <x:c r="H107" s="14"/>
      <x:c r="I107" s="14"/>
      <x:c r="J107" s="14"/>
      <x:c r="K107" s="14"/>
      <x:c r="L107" s="14"/>
      <x:c r="M107" s="14"/>
    </x:row>
    <x:row r="108" ht="58" customHeight="1">
      <x:c r="A108" s="14"/>
      <x:c r="B108" s="14"/>
      <x:c r="C108" s="195"/>
      <x:c r="D108" s="195"/>
      <x:c r="E108" s="195"/>
      <x:c r="F108" s="195"/>
      <x:c r="G108" s="195"/>
      <x:c r="H108" s="14"/>
      <x:c r="I108" s="14"/>
      <x:c r="J108" s="14"/>
      <x:c r="K108" s="14"/>
      <x:c r="L108" s="14"/>
      <x:c r="M108" s="14"/>
    </x:row>
    <x:row r="109" ht="58" customHeight="1">
      <x:c r="A109" s="14"/>
      <x:c r="B109" s="14"/>
      <x:c r="C109" s="195"/>
      <x:c r="D109" s="195"/>
      <x:c r="E109" s="195"/>
      <x:c r="F109" s="195"/>
      <x:c r="G109" s="195"/>
      <x:c r="H109" s="14"/>
      <x:c r="I109" s="14"/>
      <x:c r="J109" s="14"/>
      <x:c r="K109" s="14"/>
      <x:c r="L109" s="14"/>
      <x:c r="M109" s="14"/>
    </x:row>
    <x:row r="110" ht="58" customHeight="1">
      <x:c r="A110" s="14"/>
      <x:c r="B110" s="14"/>
      <x:c r="C110" s="195"/>
      <x:c r="D110" s="195"/>
      <x:c r="E110" s="195"/>
      <x:c r="F110" s="195"/>
      <x:c r="G110" s="195"/>
      <x:c r="H110" s="14"/>
      <x:c r="I110" s="14"/>
      <x:c r="J110" s="14"/>
      <x:c r="K110" s="14"/>
      <x:c r="L110" s="14"/>
      <x:c r="M110" s="14"/>
    </x:row>
    <x:row r="111" ht="58" customHeight="1">
      <x:c r="A111" s="14"/>
      <x:c r="B111" s="14"/>
      <x:c r="C111" s="195"/>
      <x:c r="D111" s="195"/>
      <x:c r="E111" s="195"/>
      <x:c r="F111" s="195"/>
      <x:c r="G111" s="195"/>
      <x:c r="H111" s="14"/>
      <x:c r="I111" s="14"/>
      <x:c r="J111" s="14"/>
      <x:c r="K111" s="14"/>
      <x:c r="L111" s="14"/>
      <x:c r="M111" s="14"/>
    </x:row>
  </x:sheetData>
  <x:mergeCells>
    <x:mergeCell ref="A1:M1"/>
    <x:mergeCell ref="A2:M2"/>
  </x:mergeCells>
  <x:dataValidations count="4">
    <x:dataValidation type="list" allowBlank="0" showDropDown="0" sqref="B5:B111">
      <x:formula1>'Motherboard'!$A$5:$A$34</x:formula1>
    </x:dataValidation>
    <x:dataValidation type="list" allowBlank="0" showDropDown="0" sqref="D5:D111">
      <x:formula1>'Lists'!$AN$5:$AN$6</x:formula1>
    </x:dataValidation>
    <x:dataValidation type="list" allowBlank="1" showDropDown="0" sqref="G5:G111">
      <x:formula1>'Lists'!$AO$5:$AO$7</x:formula1>
    </x:dataValidation>
    <x:dataValidation type="list" allowBlank="1" showDropDown="0" sqref="I5:I111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b6c9eb153f74547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18" hidden="0" customWidth="1"/>
    <x:col min="4" max="4" width="24" hidden="0" customWidth="1"/>
    <x:col min="5" max="5" width="23" hidden="0" customWidth="1"/>
    <x:col min="6" max="6" width="18" hidden="0" customWidth="1"/>
    <x:col min="7" max="7" width="15" hidden="0" customWidth="1"/>
    <x:col min="8" max="8" width="30" hidden="0" customWidth="1"/>
    <x:col min="9" max="9" width="24" hidden="0" customWidth="1"/>
    <x:col min="10" max="10" width="28" hidden="0" customWidth="1"/>
  </x:cols>
  <x:sheetData>
    <x:row r="1" ht="28" customHeight="1">
      <x:c r="A1" s="181" t="str">
        <x:v>MotherboardUSB 端子規格・本数表</x:v>
      </x:c>
      <x:c r="B1" s="181"/>
      <x:c r="C1" s="181"/>
      <x:c r="D1" s="181"/>
      <x:c r="E1" s="181"/>
      <x:c r="F1" s="181"/>
      <x:c r="G1" s="181"/>
      <x:c r="H1" s="181"/>
      <x:c r="I1" s="181"/>
      <x:c r="J1" s="181"/>
    </x:row>
    <x:row r="2" ht="42" customHeight="1">
      <x:c r="A2" s="187" t="str">
        <x:v>USBの場所・公式規格・USBプロトコル最大速度・Type-A/C・本数を1グループ1行で管理します。Thunderbolt速度やDisplayPortはalternate_protocolsへ分離します。</x:v>
      </x:c>
      <x:c r="B2" s="187"/>
      <x:c r="C2" s="187"/>
      <x:c r="D2" s="187"/>
      <x:c r="E2" s="187"/>
      <x:c r="F2" s="187"/>
      <x:c r="G2" s="187"/>
      <x:c r="H2" s="187"/>
      <x:c r="I2" s="187"/>
      <x:c r="J2" s="187"/>
    </x:row>
    <x:row r="3" ht="8" customHeight="1"/>
    <x:row r="4" ht="54" customHeight="1">
      <x:c r="A4" s="194" t="str">
        <x:v>usb_record_id</x:v>
      </x:c>
      <x:c r="B4" s="194" t="str">
        <x:v>product_id</x:v>
      </x:c>
      <x:c r="C4" s="194" t="str">
        <x:v>location</x:v>
      </x:c>
      <x:c r="D4" s="194" t="str">
        <x:v>official_standard</x:v>
      </x:c>
      <x:c r="E4" s="194" t="str">
        <x:v>usb_max_speed_gbps</x:v>
      </x:c>
      <x:c r="F4" s="194" t="str">
        <x:v>connector_type</x:v>
      </x:c>
      <x:c r="G4" s="194" t="str">
        <x:v>port_count</x:v>
      </x:c>
      <x:c r="H4" s="194" t="str">
        <x:v>alternate_protocols</x:v>
      </x:c>
      <x:c r="I4" s="194" t="str">
        <x:v>features</x:v>
      </x:c>
      <x:c r="J4" s="194" t="str">
        <x:v>notes</x:v>
      </x:c>
    </x:row>
    <x:row r="5" ht="58" customHeight="1">
      <x:c r="A5" s="14" t="str">
        <x:v>motherboard-asus-tuf-gaming-b650-plus-wifi-usb-01</x:v>
      </x:c>
      <x:c r="B5" s="14" t="str">
        <x:v>motherboard-asus-tuf-gaming-b650-plus-wifi</x:v>
      </x:c>
      <x:c r="C5" s="195" t="str">
        <x:v>rear</x:v>
      </x:c>
      <x:c r="D5" s="195" t="str">
        <x:v>USB 3.2 Gen 2x2</x:v>
      </x:c>
      <x:c r="E5" s="196" t="n">
        <x:v>20</x:v>
      </x:c>
      <x:c r="F5" s="195" t="str">
        <x:v>Type-C</x:v>
      </x:c>
      <x:c r="G5" s="197" t="n">
        <x:v>1</x:v>
      </x:c>
      <x:c r="H5" s="14"/>
      <x:c r="I5" s="14"/>
      <x:c r="J5" s="14"/>
    </x:row>
    <x:row r="6" ht="58" customHeight="1">
      <x:c r="A6" s="14" t="str">
        <x:v>motherboard-asus-tuf-gaming-b650-plus-wifi-usb-02</x:v>
      </x:c>
      <x:c r="B6" s="14" t="str">
        <x:v>motherboard-asus-tuf-gaming-b650-plus-wifi</x:v>
      </x:c>
      <x:c r="C6" s="195" t="str">
        <x:v>rear</x:v>
      </x:c>
      <x:c r="D6" s="195" t="str">
        <x:v>USB 3.2 Gen 2</x:v>
      </x:c>
      <x:c r="E6" s="196" t="n">
        <x:v>10</x:v>
      </x:c>
      <x:c r="F6" s="195" t="str">
        <x:v>Type-A</x:v>
      </x:c>
      <x:c r="G6" s="197" t="n">
        <x:v>2</x:v>
      </x:c>
      <x:c r="H6" s="14"/>
      <x:c r="I6" s="14"/>
      <x:c r="J6" s="14"/>
    </x:row>
    <x:row r="7" ht="58" customHeight="1">
      <x:c r="A7" s="14" t="str">
        <x:v>motherboard-asus-tuf-gaming-b650-plus-wifi-usb-03</x:v>
      </x:c>
      <x:c r="B7" s="14" t="str">
        <x:v>motherboard-asus-tuf-gaming-b650-plus-wifi</x:v>
      </x:c>
      <x:c r="C7" s="195" t="str">
        <x:v>rear</x:v>
      </x:c>
      <x:c r="D7" s="195" t="str">
        <x:v>USB 3.2 Gen 2</x:v>
      </x:c>
      <x:c r="E7" s="196" t="n">
        <x:v>10</x:v>
      </x:c>
      <x:c r="F7" s="195" t="str">
        <x:v>Type-C</x:v>
      </x:c>
      <x:c r="G7" s="197" t="n">
        <x:v>1</x:v>
      </x:c>
      <x:c r="H7" s="14"/>
      <x:c r="I7" s="14"/>
      <x:c r="J7" s="14"/>
    </x:row>
    <x:row r="8" ht="58" customHeight="1">
      <x:c r="A8" s="14" t="str">
        <x:v>motherboard-asus-tuf-gaming-b650-plus-wifi-usb-04</x:v>
      </x:c>
      <x:c r="B8" s="14" t="str">
        <x:v>motherboard-asus-tuf-gaming-b650-plus-wifi</x:v>
      </x:c>
      <x:c r="C8" s="195" t="str">
        <x:v>rear</x:v>
      </x:c>
      <x:c r="D8" s="195" t="str">
        <x:v>USB 2.0</x:v>
      </x:c>
      <x:c r="E8" s="196" t="n">
        <x:v>0.48</x:v>
      </x:c>
      <x:c r="F8" s="195" t="str">
        <x:v>Type-A</x:v>
      </x:c>
      <x:c r="G8" s="197" t="n">
        <x:v>4</x:v>
      </x:c>
      <x:c r="H8" s="14"/>
      <x:c r="I8" s="14"/>
      <x:c r="J8" s="14"/>
    </x:row>
    <x:row r="9" ht="58" customHeight="1">
      <x:c r="A9" s="14" t="str">
        <x:v>motherboard-asus-tuf-gaming-b650-plus-wifi-usb-05</x:v>
      </x:c>
      <x:c r="B9" s="14" t="str">
        <x:v>motherboard-asus-tuf-gaming-b650-plus-wifi</x:v>
      </x:c>
      <x:c r="C9" s="195" t="str">
        <x:v>front_header</x:v>
      </x:c>
      <x:c r="D9" s="195" t="str">
        <x:v>USB 3.2 Gen 1</x:v>
      </x:c>
      <x:c r="E9" s="196" t="n">
        <x:v>5</x:v>
      </x:c>
      <x:c r="F9" s="195" t="str">
        <x:v>Type-C</x:v>
      </x:c>
      <x:c r="G9" s="197" t="n">
        <x:v>1</x:v>
      </x:c>
      <x:c r="H9" s="14"/>
      <x:c r="I9" s="14"/>
      <x:c r="J9" s="14"/>
    </x:row>
    <x:row r="10" ht="58" customHeight="1">
      <x:c r="A10" s="14" t="str">
        <x:v>motherboard-msi-mag-b650-tomahawk-wifi-usb-01</x:v>
      </x:c>
      <x:c r="B10" s="14" t="str">
        <x:v>motherboard-msi-mag-b650-tomahawk-wifi</x:v>
      </x:c>
      <x:c r="C10" s="195" t="str">
        <x:v>rear</x:v>
      </x:c>
      <x:c r="D10" s="195" t="str">
        <x:v>USB 3.2 Gen 2x2</x:v>
      </x:c>
      <x:c r="E10" s="196" t="n">
        <x:v>20</x:v>
      </x:c>
      <x:c r="F10" s="195" t="str">
        <x:v>Type-C</x:v>
      </x:c>
      <x:c r="G10" s="197" t="n">
        <x:v>1</x:v>
      </x:c>
      <x:c r="H10" s="14"/>
      <x:c r="I10" s="14"/>
      <x:c r="J10" s="14"/>
    </x:row>
    <x:row r="11" ht="58" customHeight="1">
      <x:c r="A11" s="14" t="str">
        <x:v>motherboard-msi-mag-b650-tomahawk-wifi-usb-02</x:v>
      </x:c>
      <x:c r="B11" s="14" t="str">
        <x:v>motherboard-msi-mag-b650-tomahawk-wifi</x:v>
      </x:c>
      <x:c r="C11" s="195" t="str">
        <x:v>rear</x:v>
      </x:c>
      <x:c r="D11" s="195" t="str">
        <x:v>USB 3.2 Gen 2</x:v>
      </x:c>
      <x:c r="E11" s="196" t="n">
        <x:v>10</x:v>
      </x:c>
      <x:c r="F11" s="195" t="str">
        <x:v>Type-A</x:v>
      </x:c>
      <x:c r="G11" s="197" t="n">
        <x:v>3</x:v>
      </x:c>
      <x:c r="H11" s="14"/>
      <x:c r="I11" s="14"/>
      <x:c r="J11" s="14"/>
    </x:row>
    <x:row r="12" ht="58" customHeight="1">
      <x:c r="A12" s="14" t="str">
        <x:v>motherboard-msi-mag-b650-tomahawk-wifi-usb-03</x:v>
      </x:c>
      <x:c r="B12" s="14" t="str">
        <x:v>motherboard-msi-mag-b650-tomahawk-wifi</x:v>
      </x:c>
      <x:c r="C12" s="195" t="str">
        <x:v>rear</x:v>
      </x:c>
      <x:c r="D12" s="195" t="str">
        <x:v>USB 3.2 Gen 1</x:v>
      </x:c>
      <x:c r="E12" s="196" t="n">
        <x:v>5</x:v>
      </x:c>
      <x:c r="F12" s="195" t="str">
        <x:v>Type-A</x:v>
      </x:c>
      <x:c r="G12" s="197" t="n">
        <x:v>4</x:v>
      </x:c>
      <x:c r="H12" s="14"/>
      <x:c r="I12" s="14"/>
      <x:c r="J12" s="14"/>
    </x:row>
    <x:row r="13" ht="58" customHeight="1">
      <x:c r="A13" s="14" t="str">
        <x:v>motherboard-msi-mag-b650-tomahawk-wifi-usb-04</x:v>
      </x:c>
      <x:c r="B13" s="14" t="str">
        <x:v>motherboard-msi-mag-b650-tomahawk-wifi</x:v>
      </x:c>
      <x:c r="C13" s="195" t="str">
        <x:v>rear</x:v>
      </x:c>
      <x:c r="D13" s="195" t="str">
        <x:v>USB 2.0</x:v>
      </x:c>
      <x:c r="E13" s="196" t="n">
        <x:v>0.48</x:v>
      </x:c>
      <x:c r="F13" s="195" t="str">
        <x:v>Type-A</x:v>
      </x:c>
      <x:c r="G13" s="197" t="n">
        <x:v>2</x:v>
      </x:c>
      <x:c r="H13" s="14"/>
      <x:c r="I13" s="14"/>
      <x:c r="J13" s="14"/>
    </x:row>
    <x:row r="14" ht="58" customHeight="1">
      <x:c r="A14" s="14" t="str">
        <x:v>motherboard-msi-mag-b650-tomahawk-wifi-usb-05</x:v>
      </x:c>
      <x:c r="B14" s="14" t="str">
        <x:v>motherboard-msi-mag-b650-tomahawk-wifi</x:v>
      </x:c>
      <x:c r="C14" s="195" t="str">
        <x:v>front_header</x:v>
      </x:c>
      <x:c r="D14" s="195" t="str">
        <x:v>USB 3.2 Gen 2</x:v>
      </x:c>
      <x:c r="E14" s="196" t="n">
        <x:v>10</x:v>
      </x:c>
      <x:c r="F14" s="195" t="str">
        <x:v>Type-C</x:v>
      </x:c>
      <x:c r="G14" s="197" t="n">
        <x:v>1</x:v>
      </x:c>
      <x:c r="H14" s="14"/>
      <x:c r="I14" s="14"/>
      <x:c r="J14" s="14"/>
    </x:row>
    <x:row r="15" ht="58" customHeight="1">
      <x:c r="A15" s="14" t="str">
        <x:v>motherboard-gigabyte-b650-aorus-elite-ax-v2-rev-10-usb-01</x:v>
      </x:c>
      <x:c r="B15" s="14" t="str">
        <x:v>motherboard-gigabyte-b650-aorus-elite-ax-v2-rev-10</x:v>
      </x:c>
      <x:c r="C15" s="195" t="str">
        <x:v>rear</x:v>
      </x:c>
      <x:c r="D15" s="195" t="str">
        <x:v>USB 3.2 Gen 2</x:v>
      </x:c>
      <x:c r="E15" s="196" t="n">
        <x:v>10</x:v>
      </x:c>
      <x:c r="F15" s="195" t="str">
        <x:v>Type-C</x:v>
      </x:c>
      <x:c r="G15" s="197" t="n">
        <x:v>1</x:v>
      </x:c>
      <x:c r="H15" s="14"/>
      <x:c r="I15" s="14"/>
      <x:c r="J15" s="14"/>
    </x:row>
    <x:row r="16" ht="58" customHeight="1">
      <x:c r="A16" s="14" t="str">
        <x:v>motherboard-gigabyte-b650-aorus-elite-ax-v2-rev-10-usb-02</x:v>
      </x:c>
      <x:c r="B16" s="14" t="str">
        <x:v>motherboard-gigabyte-b650-aorus-elite-ax-v2-rev-10</x:v>
      </x:c>
      <x:c r="C16" s="195" t="str">
        <x:v>rear</x:v>
      </x:c>
      <x:c r="D16" s="195" t="str">
        <x:v>USB 3.2 Gen 2</x:v>
      </x:c>
      <x:c r="E16" s="196" t="n">
        <x:v>10</x:v>
      </x:c>
      <x:c r="F16" s="195" t="str">
        <x:v>Type-A</x:v>
      </x:c>
      <x:c r="G16" s="197" t="n">
        <x:v>2</x:v>
      </x:c>
      <x:c r="H16" s="14"/>
      <x:c r="I16" s="14"/>
      <x:c r="J16" s="14"/>
    </x:row>
    <x:row r="17" ht="58" customHeight="1">
      <x:c r="A17" s="14" t="str">
        <x:v>motherboard-gigabyte-b650-aorus-elite-ax-v2-rev-10-usb-03</x:v>
      </x:c>
      <x:c r="B17" s="14" t="str">
        <x:v>motherboard-gigabyte-b650-aorus-elite-ax-v2-rev-10</x:v>
      </x:c>
      <x:c r="C17" s="195" t="str">
        <x:v>rear</x:v>
      </x:c>
      <x:c r="D17" s="195" t="str">
        <x:v>USB 3.2 Gen 1</x:v>
      </x:c>
      <x:c r="E17" s="196" t="n">
        <x:v>5</x:v>
      </x:c>
      <x:c r="F17" s="195" t="str">
        <x:v>Type-A</x:v>
      </x:c>
      <x:c r="G17" s="197" t="n">
        <x:v>5</x:v>
      </x:c>
      <x:c r="H17" s="14"/>
      <x:c r="I17" s="14"/>
      <x:c r="J17" s="14"/>
    </x:row>
    <x:row r="18" ht="58" customHeight="1">
      <x:c r="A18" s="14" t="str">
        <x:v>motherboard-gigabyte-b650-aorus-elite-ax-v2-rev-10-usb-04</x:v>
      </x:c>
      <x:c r="B18" s="14" t="str">
        <x:v>motherboard-gigabyte-b650-aorus-elite-ax-v2-rev-10</x:v>
      </x:c>
      <x:c r="C18" s="195" t="str">
        <x:v>rear</x:v>
      </x:c>
      <x:c r="D18" s="195" t="str">
        <x:v>USB 2.0</x:v>
      </x:c>
      <x:c r="E18" s="196" t="n">
        <x:v>0.48</x:v>
      </x:c>
      <x:c r="F18" s="195" t="str">
        <x:v>Type-A</x:v>
      </x:c>
      <x:c r="G18" s="197" t="n">
        <x:v>4</x:v>
      </x:c>
      <x:c r="H18" s="14"/>
      <x:c r="I18" s="14"/>
      <x:c r="J18" s="14"/>
    </x:row>
    <x:row r="19" ht="58" customHeight="1">
      <x:c r="A19" s="14" t="str">
        <x:v>motherboard-gigabyte-b650-aorus-elite-ax-v2-rev-10-usb-05</x:v>
      </x:c>
      <x:c r="B19" s="14" t="str">
        <x:v>motherboard-gigabyte-b650-aorus-elite-ax-v2-rev-10</x:v>
      </x:c>
      <x:c r="C19" s="195" t="str">
        <x:v>front_header</x:v>
      </x:c>
      <x:c r="D19" s="195" t="str">
        <x:v>USB 3.2 Gen 2x2</x:v>
      </x:c>
      <x:c r="E19" s="196" t="n">
        <x:v>20</x:v>
      </x:c>
      <x:c r="F19" s="195" t="str">
        <x:v>Type-C</x:v>
      </x:c>
      <x:c r="G19" s="197" t="n">
        <x:v>1</x:v>
      </x:c>
      <x:c r="H19" s="14"/>
      <x:c r="I19" s="14"/>
      <x:c r="J19" s="14"/>
    </x:row>
    <x:row r="20" ht="58" customHeight="1">
      <x:c r="A20" s="14" t="str">
        <x:v>motherboard-gigabyte-b650-aorus-elite-ax-v2-rev-11-usb-01</x:v>
      </x:c>
      <x:c r="B20" s="14" t="str">
        <x:v>motherboard-gigabyte-b650-aorus-elite-ax-v2-rev-11</x:v>
      </x:c>
      <x:c r="C20" s="195" t="str">
        <x:v>rear</x:v>
      </x:c>
      <x:c r="D20" s="195" t="str">
        <x:v>USB 3.2 Gen 2</x:v>
      </x:c>
      <x:c r="E20" s="196" t="n">
        <x:v>10</x:v>
      </x:c>
      <x:c r="F20" s="195" t="str">
        <x:v>Type-C</x:v>
      </x:c>
      <x:c r="G20" s="197" t="n">
        <x:v>1</x:v>
      </x:c>
      <x:c r="H20" s="14"/>
      <x:c r="I20" s="14"/>
      <x:c r="J20" s="14"/>
    </x:row>
    <x:row r="21" ht="58" customHeight="1">
      <x:c r="A21" s="14" t="str">
        <x:v>motherboard-gigabyte-b650-aorus-elite-ax-v2-rev-11-usb-02</x:v>
      </x:c>
      <x:c r="B21" s="14" t="str">
        <x:v>motherboard-gigabyte-b650-aorus-elite-ax-v2-rev-11</x:v>
      </x:c>
      <x:c r="C21" s="195" t="str">
        <x:v>rear</x:v>
      </x:c>
      <x:c r="D21" s="195" t="str">
        <x:v>USB 3.2 Gen 2</x:v>
      </x:c>
      <x:c r="E21" s="196" t="n">
        <x:v>10</x:v>
      </x:c>
      <x:c r="F21" s="195" t="str">
        <x:v>Type-A</x:v>
      </x:c>
      <x:c r="G21" s="197" t="n">
        <x:v>2</x:v>
      </x:c>
      <x:c r="H21" s="14"/>
      <x:c r="I21" s="14"/>
      <x:c r="J21" s="14"/>
    </x:row>
    <x:row r="22" ht="58" customHeight="1">
      <x:c r="A22" s="14" t="str">
        <x:v>motherboard-gigabyte-b650-aorus-elite-ax-v2-rev-11-usb-03</x:v>
      </x:c>
      <x:c r="B22" s="14" t="str">
        <x:v>motherboard-gigabyte-b650-aorus-elite-ax-v2-rev-11</x:v>
      </x:c>
      <x:c r="C22" s="195" t="str">
        <x:v>rear</x:v>
      </x:c>
      <x:c r="D22" s="195" t="str">
        <x:v>USB 3.2 Gen 1</x:v>
      </x:c>
      <x:c r="E22" s="196" t="n">
        <x:v>5</x:v>
      </x:c>
      <x:c r="F22" s="195" t="str">
        <x:v>Type-A</x:v>
      </x:c>
      <x:c r="G22" s="197" t="n">
        <x:v>5</x:v>
      </x:c>
      <x:c r="H22" s="14"/>
      <x:c r="I22" s="14"/>
      <x:c r="J22" s="14"/>
    </x:row>
    <x:row r="23" ht="58" customHeight="1">
      <x:c r="A23" s="14" t="str">
        <x:v>motherboard-gigabyte-b650-aorus-elite-ax-v2-rev-11-usb-04</x:v>
      </x:c>
      <x:c r="B23" s="14" t="str">
        <x:v>motherboard-gigabyte-b650-aorus-elite-ax-v2-rev-11</x:v>
      </x:c>
      <x:c r="C23" s="195" t="str">
        <x:v>rear</x:v>
      </x:c>
      <x:c r="D23" s="195" t="str">
        <x:v>USB 2.0</x:v>
      </x:c>
      <x:c r="E23" s="196" t="n">
        <x:v>0.48</x:v>
      </x:c>
      <x:c r="F23" s="195" t="str">
        <x:v>Type-A</x:v>
      </x:c>
      <x:c r="G23" s="197" t="n">
        <x:v>4</x:v>
      </x:c>
      <x:c r="H23" s="14"/>
      <x:c r="I23" s="14"/>
      <x:c r="J23" s="14"/>
    </x:row>
    <x:row r="24" ht="58" customHeight="1">
      <x:c r="A24" s="14" t="str">
        <x:v>motherboard-gigabyte-b650-aorus-elite-ax-v2-rev-11-usb-05</x:v>
      </x:c>
      <x:c r="B24" s="14" t="str">
        <x:v>motherboard-gigabyte-b650-aorus-elite-ax-v2-rev-11</x:v>
      </x:c>
      <x:c r="C24" s="195" t="str">
        <x:v>front_header</x:v>
      </x:c>
      <x:c r="D24" s="195" t="str">
        <x:v>USB 3.2 Gen 2x2</x:v>
      </x:c>
      <x:c r="E24" s="196" t="n">
        <x:v>20</x:v>
      </x:c>
      <x:c r="F24" s="195" t="str">
        <x:v>Type-C</x:v>
      </x:c>
      <x:c r="G24" s="197" t="n">
        <x:v>1</x:v>
      </x:c>
      <x:c r="H24" s="14"/>
      <x:c r="I24" s="14"/>
      <x:c r="J24" s="14"/>
    </x:row>
    <x:row r="25" ht="58" customHeight="1">
      <x:c r="A25" s="14" t="str">
        <x:v>motherboard-asrock-b650m-pro-rs-wifi-usb-01</x:v>
      </x:c>
      <x:c r="B25" s="14" t="str">
        <x:v>motherboard-asrock-b650m-pro-rs-wifi</x:v>
      </x:c>
      <x:c r="C25" s="195" t="str">
        <x:v>rear</x:v>
      </x:c>
      <x:c r="D25" s="195" t="str">
        <x:v>USB 3.2 Gen 2</x:v>
      </x:c>
      <x:c r="E25" s="196" t="n">
        <x:v>10</x:v>
      </x:c>
      <x:c r="F25" s="195" t="str">
        <x:v>Type-C</x:v>
      </x:c>
      <x:c r="G25" s="197" t="n">
        <x:v>1</x:v>
      </x:c>
      <x:c r="H25" s="14"/>
      <x:c r="I25" s="14"/>
      <x:c r="J25" s="14"/>
    </x:row>
    <x:row r="26" ht="58" customHeight="1">
      <x:c r="A26" s="14" t="str">
        <x:v>motherboard-asrock-b650m-pro-rs-wifi-usb-02</x:v>
      </x:c>
      <x:c r="B26" s="14" t="str">
        <x:v>motherboard-asrock-b650m-pro-rs-wifi</x:v>
      </x:c>
      <x:c r="C26" s="195" t="str">
        <x:v>rear</x:v>
      </x:c>
      <x:c r="D26" s="195" t="str">
        <x:v>USB 3.2 Gen 2</x:v>
      </x:c>
      <x:c r="E26" s="196" t="n">
        <x:v>10</x:v>
      </x:c>
      <x:c r="F26" s="195" t="str">
        <x:v>Type-A</x:v>
      </x:c>
      <x:c r="G26" s="197" t="n">
        <x:v>1</x:v>
      </x:c>
      <x:c r="H26" s="14"/>
      <x:c r="I26" s="14"/>
      <x:c r="J26" s="14"/>
    </x:row>
    <x:row r="27" ht="58" customHeight="1">
      <x:c r="A27" s="14" t="str">
        <x:v>motherboard-asrock-b650m-pro-rs-wifi-usb-03</x:v>
      </x:c>
      <x:c r="B27" s="14" t="str">
        <x:v>motherboard-asrock-b650m-pro-rs-wifi</x:v>
      </x:c>
      <x:c r="C27" s="195" t="str">
        <x:v>rear</x:v>
      </x:c>
      <x:c r="D27" s="195" t="str">
        <x:v>USB 3.2 Gen 1</x:v>
      </x:c>
      <x:c r="E27" s="196" t="n">
        <x:v>5</x:v>
      </x:c>
      <x:c r="F27" s="195" t="str">
        <x:v>Type-A</x:v>
      </x:c>
      <x:c r="G27" s="197" t="n">
        <x:v>2</x:v>
      </x:c>
      <x:c r="H27" s="14"/>
      <x:c r="I27" s="14"/>
      <x:c r="J27" s="14"/>
    </x:row>
    <x:row r="28" ht="58" customHeight="1">
      <x:c r="A28" s="14" t="str">
        <x:v>motherboard-asrock-b650m-pro-rs-wifi-usb-04</x:v>
      </x:c>
      <x:c r="B28" s="14" t="str">
        <x:v>motherboard-asrock-b650m-pro-rs-wifi</x:v>
      </x:c>
      <x:c r="C28" s="195" t="str">
        <x:v>rear</x:v>
      </x:c>
      <x:c r="D28" s="195" t="str">
        <x:v>USB 2.0</x:v>
      </x:c>
      <x:c r="E28" s="196" t="n">
        <x:v>0.48</x:v>
      </x:c>
      <x:c r="F28" s="195" t="str">
        <x:v>Type-A</x:v>
      </x:c>
      <x:c r="G28" s="197" t="n">
        <x:v>4</x:v>
      </x:c>
      <x:c r="H28" s="14"/>
      <x:c r="I28" s="14"/>
      <x:c r="J28" s="14"/>
    </x:row>
    <x:row r="29" ht="58" customHeight="1">
      <x:c r="A29" s="14" t="str">
        <x:v>motherboard-asrock-b650m-pro-rs-wifi-usb-05</x:v>
      </x:c>
      <x:c r="B29" s="14" t="str">
        <x:v>motherboard-asrock-b650m-pro-rs-wifi</x:v>
      </x:c>
      <x:c r="C29" s="195" t="str">
        <x:v>front_header</x:v>
      </x:c>
      <x:c r="D29" s="195" t="str">
        <x:v>USB 3.2 Gen 1</x:v>
      </x:c>
      <x:c r="E29" s="196" t="n">
        <x:v>5</x:v>
      </x:c>
      <x:c r="F29" s="195" t="str">
        <x:v>Type-C</x:v>
      </x:c>
      <x:c r="G29" s="197" t="n">
        <x:v>1</x:v>
      </x:c>
      <x:c r="H29" s="14"/>
      <x:c r="I29" s="14"/>
      <x:c r="J29" s="14"/>
    </x:row>
    <x:row r="30" ht="58" customHeight="1">
      <x:c r="A30" s="14" t="str">
        <x:v>motherboard-asus-tuf-gaming-z790-plus-wifi-usb-01</x:v>
      </x:c>
      <x:c r="B30" s="14" t="str">
        <x:v>motherboard-asus-tuf-gaming-z790-plus-wifi</x:v>
      </x:c>
      <x:c r="C30" s="195" t="str">
        <x:v>rear</x:v>
      </x:c>
      <x:c r="D30" s="195" t="str">
        <x:v>USB 3.2 Gen 2x2</x:v>
      </x:c>
      <x:c r="E30" s="196" t="n">
        <x:v>20</x:v>
      </x:c>
      <x:c r="F30" s="195" t="str">
        <x:v>Type-C</x:v>
      </x:c>
      <x:c r="G30" s="197" t="n">
        <x:v>1</x:v>
      </x:c>
      <x:c r="H30" s="14"/>
      <x:c r="I30" s="14"/>
      <x:c r="J30" s="14"/>
    </x:row>
    <x:row r="31" ht="58" customHeight="1">
      <x:c r="A31" s="14" t="str">
        <x:v>motherboard-asus-tuf-gaming-z790-plus-wifi-usb-02</x:v>
      </x:c>
      <x:c r="B31" s="14" t="str">
        <x:v>motherboard-asus-tuf-gaming-z790-plus-wifi</x:v>
      </x:c>
      <x:c r="C31" s="195" t="str">
        <x:v>rear</x:v>
      </x:c>
      <x:c r="D31" s="195" t="str">
        <x:v>USB 3.2 Gen 2</x:v>
      </x:c>
      <x:c r="E31" s="196" t="n">
        <x:v>10</x:v>
      </x:c>
      <x:c r="F31" s="195" t="str">
        <x:v>Type-A</x:v>
      </x:c>
      <x:c r="G31" s="197" t="n">
        <x:v>2</x:v>
      </x:c>
      <x:c r="H31" s="14"/>
      <x:c r="I31" s="14"/>
      <x:c r="J31" s="14"/>
    </x:row>
    <x:row r="32" ht="58" customHeight="1">
      <x:c r="A32" s="14" t="str">
        <x:v>motherboard-asus-tuf-gaming-z790-plus-wifi-usb-03</x:v>
      </x:c>
      <x:c r="B32" s="14" t="str">
        <x:v>motherboard-asus-tuf-gaming-z790-plus-wifi</x:v>
      </x:c>
      <x:c r="C32" s="195" t="str">
        <x:v>rear</x:v>
      </x:c>
      <x:c r="D32" s="195" t="str">
        <x:v>USB 3.2 Gen 2</x:v>
      </x:c>
      <x:c r="E32" s="196" t="n">
        <x:v>10</x:v>
      </x:c>
      <x:c r="F32" s="195" t="str">
        <x:v>Type-C</x:v>
      </x:c>
      <x:c r="G32" s="197" t="n">
        <x:v>1</x:v>
      </x:c>
      <x:c r="H32" s="14"/>
      <x:c r="I32" s="14"/>
      <x:c r="J32" s="14"/>
    </x:row>
    <x:row r="33" ht="58" customHeight="1">
      <x:c r="A33" s="14" t="str">
        <x:v>motherboard-asus-tuf-gaming-z790-plus-wifi-usb-04</x:v>
      </x:c>
      <x:c r="B33" s="14" t="str">
        <x:v>motherboard-asus-tuf-gaming-z790-plus-wifi</x:v>
      </x:c>
      <x:c r="C33" s="195" t="str">
        <x:v>rear</x:v>
      </x:c>
      <x:c r="D33" s="195" t="str">
        <x:v>USB 3.2 Gen 1</x:v>
      </x:c>
      <x:c r="E33" s="196" t="n">
        <x:v>5</x:v>
      </x:c>
      <x:c r="F33" s="195" t="str">
        <x:v>Type-A</x:v>
      </x:c>
      <x:c r="G33" s="197" t="n">
        <x:v>4</x:v>
      </x:c>
      <x:c r="H33" s="14"/>
      <x:c r="I33" s="14"/>
      <x:c r="J33" s="14"/>
    </x:row>
    <x:row r="34" ht="58" customHeight="1">
      <x:c r="A34" s="14" t="str">
        <x:v>motherboard-asus-tuf-gaming-z790-plus-wifi-usb-05</x:v>
      </x:c>
      <x:c r="B34" s="14" t="str">
        <x:v>motherboard-asus-tuf-gaming-z790-plus-wifi</x:v>
      </x:c>
      <x:c r="C34" s="195" t="str">
        <x:v>front_header</x:v>
      </x:c>
      <x:c r="D34" s="195" t="str">
        <x:v>USB 3.2 Gen 2</x:v>
      </x:c>
      <x:c r="E34" s="196" t="n">
        <x:v>10</x:v>
      </x:c>
      <x:c r="F34" s="195" t="str">
        <x:v>Type-C</x:v>
      </x:c>
      <x:c r="G34" s="197" t="n">
        <x:v>1</x:v>
      </x:c>
      <x:c r="H34" s="14"/>
      <x:c r="I34" s="14"/>
      <x:c r="J34" s="14"/>
    </x:row>
    <x:row r="35" ht="58" customHeight="1">
      <x:c r="A35" s="14" t="str">
        <x:v>motherboard-msi-mag-z790-tomahawk-wifi-usb-01</x:v>
      </x:c>
      <x:c r="B35" s="14" t="str">
        <x:v>motherboard-msi-mag-z790-tomahawk-wifi</x:v>
      </x:c>
      <x:c r="C35" s="195" t="str">
        <x:v>rear</x:v>
      </x:c>
      <x:c r="D35" s="195" t="str">
        <x:v>USB 3.2 Gen 2x2</x:v>
      </x:c>
      <x:c r="E35" s="196" t="n">
        <x:v>20</x:v>
      </x:c>
      <x:c r="F35" s="195" t="str">
        <x:v>Type-C</x:v>
      </x:c>
      <x:c r="G35" s="197" t="n">
        <x:v>1</x:v>
      </x:c>
      <x:c r="H35" s="14"/>
      <x:c r="I35" s="14"/>
      <x:c r="J35" s="14"/>
    </x:row>
    <x:row r="36" ht="58" customHeight="1">
      <x:c r="A36" s="14" t="str">
        <x:v>motherboard-msi-mag-z790-tomahawk-wifi-usb-02</x:v>
      </x:c>
      <x:c r="B36" s="14" t="str">
        <x:v>motherboard-msi-mag-z790-tomahawk-wifi</x:v>
      </x:c>
      <x:c r="C36" s="195" t="str">
        <x:v>rear</x:v>
      </x:c>
      <x:c r="D36" s="195" t="str">
        <x:v>USB 3.2 Gen 2</x:v>
      </x:c>
      <x:c r="E36" s="196" t="n">
        <x:v>10</x:v>
      </x:c>
      <x:c r="F36" s="195" t="str">
        <x:v>Type-A</x:v>
      </x:c>
      <x:c r="G36" s="197" t="n">
        <x:v>4</x:v>
      </x:c>
      <x:c r="H36" s="14"/>
      <x:c r="I36" s="14"/>
      <x:c r="J36" s="14"/>
    </x:row>
    <x:row r="37" ht="58" customHeight="1">
      <x:c r="A37" s="14" t="str">
        <x:v>motherboard-msi-mag-z790-tomahawk-wifi-usb-03</x:v>
      </x:c>
      <x:c r="B37" s="14" t="str">
        <x:v>motherboard-msi-mag-z790-tomahawk-wifi</x:v>
      </x:c>
      <x:c r="C37" s="195" t="str">
        <x:v>rear</x:v>
      </x:c>
      <x:c r="D37" s="195" t="str">
        <x:v>USB 3.2 Gen 2</x:v>
      </x:c>
      <x:c r="E37" s="196" t="n">
        <x:v>10</x:v>
      </x:c>
      <x:c r="F37" s="195" t="str">
        <x:v>Type-C</x:v>
      </x:c>
      <x:c r="G37" s="197" t="n">
        <x:v>1</x:v>
      </x:c>
      <x:c r="H37" s="14"/>
      <x:c r="I37" s="14"/>
      <x:c r="J37" s="14"/>
    </x:row>
    <x:row r="38" ht="58" customHeight="1">
      <x:c r="A38" s="14" t="str">
        <x:v>motherboard-msi-mag-z790-tomahawk-wifi-usb-04</x:v>
      </x:c>
      <x:c r="B38" s="14" t="str">
        <x:v>motherboard-msi-mag-z790-tomahawk-wifi</x:v>
      </x:c>
      <x:c r="C38" s="195" t="str">
        <x:v>rear</x:v>
      </x:c>
      <x:c r="D38" s="195" t="str">
        <x:v>USB 3.2 Gen 1</x:v>
      </x:c>
      <x:c r="E38" s="196" t="n">
        <x:v>5</x:v>
      </x:c>
      <x:c r="F38" s="195" t="str">
        <x:v>Type-A</x:v>
      </x:c>
      <x:c r="G38" s="197" t="n">
        <x:v>4</x:v>
      </x:c>
      <x:c r="H38" s="14"/>
      <x:c r="I38" s="14"/>
      <x:c r="J38" s="14"/>
    </x:row>
    <x:row r="39" ht="58" customHeight="1">
      <x:c r="A39" s="14" t="str">
        <x:v>motherboard-msi-mag-z790-tomahawk-wifi-usb-05</x:v>
      </x:c>
      <x:c r="B39" s="14" t="str">
        <x:v>motherboard-msi-mag-z790-tomahawk-wifi</x:v>
      </x:c>
      <x:c r="C39" s="195" t="str">
        <x:v>front_header</x:v>
      </x:c>
      <x:c r="D39" s="195" t="str">
        <x:v>USB 3.2 Gen 2</x:v>
      </x:c>
      <x:c r="E39" s="196" t="n">
        <x:v>10</x:v>
      </x:c>
      <x:c r="F39" s="195" t="str">
        <x:v>Type-C</x:v>
      </x:c>
      <x:c r="G39" s="197" t="n">
        <x:v>1</x:v>
      </x:c>
      <x:c r="H39" s="14"/>
      <x:c r="I39" s="14"/>
      <x:c r="J39" s="14"/>
    </x:row>
    <x:row r="40" ht="58" customHeight="1">
      <x:c r="A40" s="14" t="str">
        <x:v>motherboard-gigabyte-z890-aorus-elite-wifi7-rev-10-usb-01</x:v>
      </x:c>
      <x:c r="B40" s="14" t="str">
        <x:v>motherboard-gigabyte-z890-aorus-elite-wifi7-rev-10</x:v>
      </x:c>
      <x:c r="C40" s="195" t="str">
        <x:v>rear</x:v>
      </x:c>
      <x:c r="D40" s="195" t="str">
        <x:v>Thunderbolt 4 / USB4</x:v>
      </x:c>
      <x:c r="E40" s="196" t="n">
        <x:v>20</x:v>
      </x:c>
      <x:c r="F40" s="195" t="str">
        <x:v>Type-C</x:v>
      </x:c>
      <x:c r="G40" s="197" t="n">
        <x:v>1</x:v>
      </x:c>
      <x:c r="H40" s="14" t="str">
        <x:v>Thunderbolt 4: 40Gbps
DisplayPort Alt Mode</x:v>
      </x:c>
      <x:c r="I40" s="14"/>
      <x:c r="J40" s="14"/>
    </x:row>
    <x:row r="41" ht="58" customHeight="1">
      <x:c r="A41" s="14" t="str">
        <x:v>motherboard-gigabyte-z890-aorus-elite-wifi7-rev-10-usb-02</x:v>
      </x:c>
      <x:c r="B41" s="14" t="str">
        <x:v>motherboard-gigabyte-z890-aorus-elite-wifi7-rev-10</x:v>
      </x:c>
      <x:c r="C41" s="195" t="str">
        <x:v>rear</x:v>
      </x:c>
      <x:c r="D41" s="195" t="str">
        <x:v>USB 3.2 Gen 2</x:v>
      </x:c>
      <x:c r="E41" s="196" t="n">
        <x:v>10</x:v>
      </x:c>
      <x:c r="F41" s="195" t="str">
        <x:v>Type-A</x:v>
      </x:c>
      <x:c r="G41" s="197" t="n">
        <x:v>2</x:v>
      </x:c>
      <x:c r="H41" s="14"/>
      <x:c r="I41" s="14"/>
      <x:c r="J41" s="14"/>
    </x:row>
    <x:row r="42" ht="58" customHeight="1">
      <x:c r="A42" s="14" t="str">
        <x:v>motherboard-gigabyte-z890-aorus-elite-wifi7-rev-10-usb-03</x:v>
      </x:c>
      <x:c r="B42" s="14" t="str">
        <x:v>motherboard-gigabyte-z890-aorus-elite-wifi7-rev-10</x:v>
      </x:c>
      <x:c r="C42" s="195" t="str">
        <x:v>rear</x:v>
      </x:c>
      <x:c r="D42" s="195" t="str">
        <x:v>USB 3.2 Gen 1</x:v>
      </x:c>
      <x:c r="E42" s="196" t="n">
        <x:v>5</x:v>
      </x:c>
      <x:c r="F42" s="195" t="str">
        <x:v>Type-A</x:v>
      </x:c>
      <x:c r="G42" s="197" t="n">
        <x:v>3</x:v>
      </x:c>
      <x:c r="H42" s="14"/>
      <x:c r="I42" s="14"/>
      <x:c r="J42" s="14"/>
    </x:row>
    <x:row r="43" ht="58" customHeight="1">
      <x:c r="A43" s="14" t="str">
        <x:v>motherboard-gigabyte-z890-aorus-elite-wifi7-rev-10-usb-04</x:v>
      </x:c>
      <x:c r="B43" s="14" t="str">
        <x:v>motherboard-gigabyte-z890-aorus-elite-wifi7-rev-10</x:v>
      </x:c>
      <x:c r="C43" s="195" t="str">
        <x:v>rear</x:v>
      </x:c>
      <x:c r="D43" s="195" t="str">
        <x:v>USB 2.0</x:v>
      </x:c>
      <x:c r="E43" s="196" t="n">
        <x:v>0.48</x:v>
      </x:c>
      <x:c r="F43" s="195" t="str">
        <x:v>Type-A</x:v>
      </x:c>
      <x:c r="G43" s="197" t="n">
        <x:v>4</x:v>
      </x:c>
      <x:c r="H43" s="14"/>
      <x:c r="I43" s="14"/>
      <x:c r="J43" s="14"/>
    </x:row>
    <x:row r="44" ht="58" customHeight="1">
      <x:c r="A44" s="14" t="str">
        <x:v>motherboard-gigabyte-z890-aorus-elite-wifi7-rev-10-usb-05</x:v>
      </x:c>
      <x:c r="B44" s="14" t="str">
        <x:v>motherboard-gigabyte-z890-aorus-elite-wifi7-rev-10</x:v>
      </x:c>
      <x:c r="C44" s="195" t="str">
        <x:v>front_header</x:v>
      </x:c>
      <x:c r="D44" s="195" t="str">
        <x:v>USB 3.2 Gen 2</x:v>
      </x:c>
      <x:c r="E44" s="196" t="n">
        <x:v>10</x:v>
      </x:c>
      <x:c r="F44" s="195" t="str">
        <x:v>Type-C</x:v>
      </x:c>
      <x:c r="G44" s="197" t="n">
        <x:v>1</x:v>
      </x:c>
      <x:c r="H44" s="14"/>
      <x:c r="I44" s="14"/>
      <x:c r="J44" s="14"/>
    </x:row>
    <x:row r="45" ht="58" customHeight="1">
      <x:c r="A45" s="14" t="str">
        <x:v>motherboard-gigabyte-z890-aorus-elite-wifi7-rev-11-usb-01</x:v>
      </x:c>
      <x:c r="B45" s="14" t="str">
        <x:v>motherboard-gigabyte-z890-aorus-elite-wifi7-rev-11</x:v>
      </x:c>
      <x:c r="C45" s="195" t="str">
        <x:v>rear</x:v>
      </x:c>
      <x:c r="D45" s="195" t="str">
        <x:v>Thunderbolt 4 / USB4</x:v>
      </x:c>
      <x:c r="E45" s="196" t="n">
        <x:v>20</x:v>
      </x:c>
      <x:c r="F45" s="195" t="str">
        <x:v>Type-C</x:v>
      </x:c>
      <x:c r="G45" s="197" t="n">
        <x:v>1</x:v>
      </x:c>
      <x:c r="H45" s="14" t="str">
        <x:v>Thunderbolt 4: 40Gbps
DisplayPort Alt Mode</x:v>
      </x:c>
      <x:c r="I45" s="14"/>
      <x:c r="J45" s="14"/>
    </x:row>
    <x:row r="46" ht="58" customHeight="1">
      <x:c r="A46" s="14" t="str">
        <x:v>motherboard-gigabyte-z890-aorus-elite-wifi7-rev-11-usb-02</x:v>
      </x:c>
      <x:c r="B46" s="14" t="str">
        <x:v>motherboard-gigabyte-z890-aorus-elite-wifi7-rev-11</x:v>
      </x:c>
      <x:c r="C46" s="195" t="str">
        <x:v>rear</x:v>
      </x:c>
      <x:c r="D46" s="195" t="str">
        <x:v>USB 3.2 Gen 2</x:v>
      </x:c>
      <x:c r="E46" s="196" t="n">
        <x:v>10</x:v>
      </x:c>
      <x:c r="F46" s="195" t="str">
        <x:v>Type-A</x:v>
      </x:c>
      <x:c r="G46" s="197" t="n">
        <x:v>2</x:v>
      </x:c>
      <x:c r="H46" s="14"/>
      <x:c r="I46" s="14"/>
      <x:c r="J46" s="14"/>
    </x:row>
    <x:row r="47" ht="58" customHeight="1">
      <x:c r="A47" s="14" t="str">
        <x:v>motherboard-gigabyte-z890-aorus-elite-wifi7-rev-11-usb-03</x:v>
      </x:c>
      <x:c r="B47" s="14" t="str">
        <x:v>motherboard-gigabyte-z890-aorus-elite-wifi7-rev-11</x:v>
      </x:c>
      <x:c r="C47" s="195" t="str">
        <x:v>rear</x:v>
      </x:c>
      <x:c r="D47" s="195" t="str">
        <x:v>USB 3.2 Gen 1</x:v>
      </x:c>
      <x:c r="E47" s="196" t="n">
        <x:v>5</x:v>
      </x:c>
      <x:c r="F47" s="195" t="str">
        <x:v>Type-A</x:v>
      </x:c>
      <x:c r="G47" s="197" t="n">
        <x:v>3</x:v>
      </x:c>
      <x:c r="H47" s="14"/>
      <x:c r="I47" s="14"/>
      <x:c r="J47" s="14"/>
    </x:row>
    <x:row r="48" ht="58" customHeight="1">
      <x:c r="A48" s="14" t="str">
        <x:v>motherboard-gigabyte-z890-aorus-elite-wifi7-rev-11-usb-04</x:v>
      </x:c>
      <x:c r="B48" s="14" t="str">
        <x:v>motherboard-gigabyte-z890-aorus-elite-wifi7-rev-11</x:v>
      </x:c>
      <x:c r="C48" s="195" t="str">
        <x:v>rear</x:v>
      </x:c>
      <x:c r="D48" s="195" t="str">
        <x:v>USB 2.0</x:v>
      </x:c>
      <x:c r="E48" s="196" t="n">
        <x:v>0.48</x:v>
      </x:c>
      <x:c r="F48" s="195" t="str">
        <x:v>Type-A</x:v>
      </x:c>
      <x:c r="G48" s="197" t="n">
        <x:v>4</x:v>
      </x:c>
      <x:c r="H48" s="14"/>
      <x:c r="I48" s="14"/>
      <x:c r="J48" s="14"/>
    </x:row>
    <x:row r="49" ht="58" customHeight="1">
      <x:c r="A49" s="14" t="str">
        <x:v>motherboard-gigabyte-z890-aorus-elite-wifi7-rev-11-usb-05</x:v>
      </x:c>
      <x:c r="B49" s="14" t="str">
        <x:v>motherboard-gigabyte-z890-aorus-elite-wifi7-rev-11</x:v>
      </x:c>
      <x:c r="C49" s="195" t="str">
        <x:v>front_header</x:v>
      </x:c>
      <x:c r="D49" s="195" t="str">
        <x:v>USB 3.2 Gen 2</x:v>
      </x:c>
      <x:c r="E49" s="196" t="n">
        <x:v>10</x:v>
      </x:c>
      <x:c r="F49" s="195" t="str">
        <x:v>Type-C</x:v>
      </x:c>
      <x:c r="G49" s="197" t="n">
        <x:v>1</x:v>
      </x:c>
      <x:c r="H49" s="14"/>
      <x:c r="I49" s="14"/>
      <x:c r="J49" s="14"/>
    </x:row>
    <x:row r="50" ht="58" customHeight="1">
      <x:c r="A50" s="14" t="str">
        <x:v>motherboard-asrock-z890-steel-legend-wifi-usb-01</x:v>
      </x:c>
      <x:c r="B50" s="14" t="str">
        <x:v>motherboard-asrock-z890-steel-legend-wifi</x:v>
      </x:c>
      <x:c r="C50" s="195" t="str">
        <x:v>rear</x:v>
      </x:c>
      <x:c r="D50" s="195" t="str">
        <x:v>Thunderbolt 4 / USB4</x:v>
      </x:c>
      <x:c r="E50" s="196" t="n">
        <x:v>40</x:v>
      </x:c>
      <x:c r="F50" s="195" t="str">
        <x:v>Type-C</x:v>
      </x:c>
      <x:c r="G50" s="197" t="n">
        <x:v>2</x:v>
      </x:c>
      <x:c r="H50" s="14" t="str">
        <x:v>Thunderbolt 4: 40Gbps
DisplayPort Alt Mode</x:v>
      </x:c>
      <x:c r="I50" s="14"/>
      <x:c r="J50" s="14"/>
    </x:row>
    <x:row r="51" ht="58" customHeight="1">
      <x:c r="A51" s="14" t="str">
        <x:v>motherboard-asrock-z890-steel-legend-wifi-usb-02</x:v>
      </x:c>
      <x:c r="B51" s="14" t="str">
        <x:v>motherboard-asrock-z890-steel-legend-wifi</x:v>
      </x:c>
      <x:c r="C51" s="195" t="str">
        <x:v>rear</x:v>
      </x:c>
      <x:c r="D51" s="195" t="str">
        <x:v>USB 3.2 Gen 2</x:v>
      </x:c>
      <x:c r="E51" s="196" t="n">
        <x:v>10</x:v>
      </x:c>
      <x:c r="F51" s="195" t="str">
        <x:v>Type-A</x:v>
      </x:c>
      <x:c r="G51" s="197" t="n">
        <x:v>2</x:v>
      </x:c>
      <x:c r="H51" s="14"/>
      <x:c r="I51" s="14"/>
      <x:c r="J51" s="14"/>
    </x:row>
    <x:row r="52" ht="58" customHeight="1">
      <x:c r="A52" s="14" t="str">
        <x:v>motherboard-asrock-z890-steel-legend-wifi-usb-03</x:v>
      </x:c>
      <x:c r="B52" s="14" t="str">
        <x:v>motherboard-asrock-z890-steel-legend-wifi</x:v>
      </x:c>
      <x:c r="C52" s="195" t="str">
        <x:v>rear</x:v>
      </x:c>
      <x:c r="D52" s="195" t="str">
        <x:v>USB 3.2 Gen 1</x:v>
      </x:c>
      <x:c r="E52" s="196" t="n">
        <x:v>5</x:v>
      </x:c>
      <x:c r="F52" s="195" t="str">
        <x:v>Type-A</x:v>
      </x:c>
      <x:c r="G52" s="197" t="n">
        <x:v>4</x:v>
      </x:c>
      <x:c r="H52" s="14"/>
      <x:c r="I52" s="14"/>
      <x:c r="J52" s="14"/>
    </x:row>
    <x:row r="53" ht="58" customHeight="1">
      <x:c r="A53" s="14" t="str">
        <x:v>motherboard-asrock-z890-steel-legend-wifi-usb-04</x:v>
      </x:c>
      <x:c r="B53" s="14" t="str">
        <x:v>motherboard-asrock-z890-steel-legend-wifi</x:v>
      </x:c>
      <x:c r="C53" s="195" t="str">
        <x:v>rear</x:v>
      </x:c>
      <x:c r="D53" s="195" t="str">
        <x:v>USB 2.0</x:v>
      </x:c>
      <x:c r="E53" s="196" t="n">
        <x:v>0.48</x:v>
      </x:c>
      <x:c r="F53" s="195" t="str">
        <x:v>Type-A</x:v>
      </x:c>
      <x:c r="G53" s="197" t="n">
        <x:v>2</x:v>
      </x:c>
      <x:c r="H53" s="14"/>
      <x:c r="I53" s="14"/>
      <x:c r="J53" s="14"/>
    </x:row>
    <x:row r="54" ht="58" customHeight="1">
      <x:c r="A54" s="14" t="str">
        <x:v>motherboard-asrock-z890-steel-legend-wifi-usb-05</x:v>
      </x:c>
      <x:c r="B54" s="14" t="str">
        <x:v>motherboard-asrock-z890-steel-legend-wifi</x:v>
      </x:c>
      <x:c r="C54" s="195" t="str">
        <x:v>front_header</x:v>
      </x:c>
      <x:c r="D54" s="195" t="str">
        <x:v>USB 3.2 Gen 2x2</x:v>
      </x:c>
      <x:c r="E54" s="196" t="n">
        <x:v>20</x:v>
      </x:c>
      <x:c r="F54" s="195" t="str">
        <x:v>Type-C</x:v>
      </x:c>
      <x:c r="G54" s="197" t="n">
        <x:v>1</x:v>
      </x:c>
      <x:c r="H54" s="14"/>
      <x:c r="I54" s="14"/>
      <x:c r="J54" s="14"/>
    </x:row>
    <x:row r="55" ht="58" customHeight="1">
      <x:c r="A55" s="14"/>
      <x:c r="B55" s="14"/>
      <x:c r="C55" s="195"/>
      <x:c r="D55" s="195"/>
      <x:c r="E55" s="196"/>
      <x:c r="F55" s="195"/>
      <x:c r="G55" s="197"/>
      <x:c r="H55" s="14"/>
      <x:c r="I55" s="14"/>
      <x:c r="J55" s="14"/>
    </x:row>
    <x:row r="56" ht="58" customHeight="1">
      <x:c r="A56" s="14"/>
      <x:c r="B56" s="14"/>
      <x:c r="C56" s="195"/>
      <x:c r="D56" s="195"/>
      <x:c r="E56" s="196"/>
      <x:c r="F56" s="195"/>
      <x:c r="G56" s="197"/>
      <x:c r="H56" s="14"/>
      <x:c r="I56" s="14"/>
      <x:c r="J56" s="14"/>
    </x:row>
    <x:row r="57" ht="58" customHeight="1">
      <x:c r="A57" s="14"/>
      <x:c r="B57" s="14"/>
      <x:c r="C57" s="195"/>
      <x:c r="D57" s="195"/>
      <x:c r="E57" s="196"/>
      <x:c r="F57" s="195"/>
      <x:c r="G57" s="197"/>
      <x:c r="H57" s="14"/>
      <x:c r="I57" s="14"/>
      <x:c r="J57" s="14"/>
    </x:row>
    <x:row r="58" ht="58" customHeight="1">
      <x:c r="A58" s="14"/>
      <x:c r="B58" s="14"/>
      <x:c r="C58" s="195"/>
      <x:c r="D58" s="195"/>
      <x:c r="E58" s="196"/>
      <x:c r="F58" s="195"/>
      <x:c r="G58" s="197"/>
      <x:c r="H58" s="14"/>
      <x:c r="I58" s="14"/>
      <x:c r="J58" s="14"/>
    </x:row>
    <x:row r="59" ht="58" customHeight="1">
      <x:c r="A59" s="14"/>
      <x:c r="B59" s="14"/>
      <x:c r="C59" s="195"/>
      <x:c r="D59" s="195"/>
      <x:c r="E59" s="196"/>
      <x:c r="F59" s="195"/>
      <x:c r="G59" s="197"/>
      <x:c r="H59" s="14"/>
      <x:c r="I59" s="14"/>
      <x:c r="J59" s="14"/>
    </x:row>
    <x:row r="60" ht="58" customHeight="1">
      <x:c r="A60" s="14"/>
      <x:c r="B60" s="14"/>
      <x:c r="C60" s="195"/>
      <x:c r="D60" s="195"/>
      <x:c r="E60" s="196"/>
      <x:c r="F60" s="195"/>
      <x:c r="G60" s="197"/>
      <x:c r="H60" s="14"/>
      <x:c r="I60" s="14"/>
      <x:c r="J60" s="14"/>
    </x:row>
    <x:row r="61" ht="58" customHeight="1">
      <x:c r="A61" s="14"/>
      <x:c r="B61" s="14"/>
      <x:c r="C61" s="195"/>
      <x:c r="D61" s="195"/>
      <x:c r="E61" s="196"/>
      <x:c r="F61" s="195"/>
      <x:c r="G61" s="197"/>
      <x:c r="H61" s="14"/>
      <x:c r="I61" s="14"/>
      <x:c r="J61" s="14"/>
    </x:row>
    <x:row r="62" ht="58" customHeight="1">
      <x:c r="A62" s="14"/>
      <x:c r="B62" s="14"/>
      <x:c r="C62" s="195"/>
      <x:c r="D62" s="195"/>
      <x:c r="E62" s="196"/>
      <x:c r="F62" s="195"/>
      <x:c r="G62" s="197"/>
      <x:c r="H62" s="14"/>
      <x:c r="I62" s="14"/>
      <x:c r="J62" s="14"/>
    </x:row>
    <x:row r="63" ht="58" customHeight="1">
      <x:c r="A63" s="14"/>
      <x:c r="B63" s="14"/>
      <x:c r="C63" s="195"/>
      <x:c r="D63" s="195"/>
      <x:c r="E63" s="196"/>
      <x:c r="F63" s="195"/>
      <x:c r="G63" s="197"/>
      <x:c r="H63" s="14"/>
      <x:c r="I63" s="14"/>
      <x:c r="J63" s="14"/>
    </x:row>
    <x:row r="64" ht="58" customHeight="1">
      <x:c r="A64" s="14"/>
      <x:c r="B64" s="14"/>
      <x:c r="C64" s="195"/>
      <x:c r="D64" s="195"/>
      <x:c r="E64" s="196"/>
      <x:c r="F64" s="195"/>
      <x:c r="G64" s="197"/>
      <x:c r="H64" s="14"/>
      <x:c r="I64" s="14"/>
      <x:c r="J64" s="14"/>
    </x:row>
    <x:row r="65" ht="58" customHeight="1">
      <x:c r="A65" s="14"/>
      <x:c r="B65" s="14"/>
      <x:c r="C65" s="195"/>
      <x:c r="D65" s="195"/>
      <x:c r="E65" s="196"/>
      <x:c r="F65" s="195"/>
      <x:c r="G65" s="197"/>
      <x:c r="H65" s="14"/>
      <x:c r="I65" s="14"/>
      <x:c r="J65" s="14"/>
    </x:row>
    <x:row r="66" ht="58" customHeight="1">
      <x:c r="A66" s="14"/>
      <x:c r="B66" s="14"/>
      <x:c r="C66" s="195"/>
      <x:c r="D66" s="195"/>
      <x:c r="E66" s="196"/>
      <x:c r="F66" s="195"/>
      <x:c r="G66" s="197"/>
      <x:c r="H66" s="14"/>
      <x:c r="I66" s="14"/>
      <x:c r="J66" s="14"/>
    </x:row>
    <x:row r="67" ht="58" customHeight="1">
      <x:c r="A67" s="14"/>
      <x:c r="B67" s="14"/>
      <x:c r="C67" s="195"/>
      <x:c r="D67" s="195"/>
      <x:c r="E67" s="196"/>
      <x:c r="F67" s="195"/>
      <x:c r="G67" s="197"/>
      <x:c r="H67" s="14"/>
      <x:c r="I67" s="14"/>
      <x:c r="J67" s="14"/>
    </x:row>
    <x:row r="68" ht="58" customHeight="1">
      <x:c r="A68" s="14"/>
      <x:c r="B68" s="14"/>
      <x:c r="C68" s="195"/>
      <x:c r="D68" s="195"/>
      <x:c r="E68" s="196"/>
      <x:c r="F68" s="195"/>
      <x:c r="G68" s="197"/>
      <x:c r="H68" s="14"/>
      <x:c r="I68" s="14"/>
      <x:c r="J68" s="14"/>
    </x:row>
    <x:row r="69" ht="58" customHeight="1">
      <x:c r="A69" s="14"/>
      <x:c r="B69" s="14"/>
      <x:c r="C69" s="195"/>
      <x:c r="D69" s="195"/>
      <x:c r="E69" s="196"/>
      <x:c r="F69" s="195"/>
      <x:c r="G69" s="197"/>
      <x:c r="H69" s="14"/>
      <x:c r="I69" s="14"/>
      <x:c r="J69" s="14"/>
    </x:row>
    <x:row r="70" ht="58" customHeight="1">
      <x:c r="A70" s="14"/>
      <x:c r="B70" s="14"/>
      <x:c r="C70" s="195"/>
      <x:c r="D70" s="195"/>
      <x:c r="E70" s="196"/>
      <x:c r="F70" s="195"/>
      <x:c r="G70" s="197"/>
      <x:c r="H70" s="14"/>
      <x:c r="I70" s="14"/>
      <x:c r="J70" s="14"/>
    </x:row>
    <x:row r="71" ht="58" customHeight="1">
      <x:c r="A71" s="14"/>
      <x:c r="B71" s="14"/>
      <x:c r="C71" s="195"/>
      <x:c r="D71" s="195"/>
      <x:c r="E71" s="196"/>
      <x:c r="F71" s="195"/>
      <x:c r="G71" s="197"/>
      <x:c r="H71" s="14"/>
      <x:c r="I71" s="14"/>
      <x:c r="J71" s="14"/>
    </x:row>
    <x:row r="72" ht="58" customHeight="1">
      <x:c r="A72" s="14"/>
      <x:c r="B72" s="14"/>
      <x:c r="C72" s="195"/>
      <x:c r="D72" s="195"/>
      <x:c r="E72" s="196"/>
      <x:c r="F72" s="195"/>
      <x:c r="G72" s="197"/>
      <x:c r="H72" s="14"/>
      <x:c r="I72" s="14"/>
      <x:c r="J72" s="14"/>
    </x:row>
    <x:row r="73" ht="58" customHeight="1">
      <x:c r="A73" s="14"/>
      <x:c r="B73" s="14"/>
      <x:c r="C73" s="195"/>
      <x:c r="D73" s="195"/>
      <x:c r="E73" s="196"/>
      <x:c r="F73" s="195"/>
      <x:c r="G73" s="197"/>
      <x:c r="H73" s="14"/>
      <x:c r="I73" s="14"/>
      <x:c r="J73" s="14"/>
    </x:row>
    <x:row r="74" ht="58" customHeight="1">
      <x:c r="A74" s="14"/>
      <x:c r="B74" s="14"/>
      <x:c r="C74" s="195"/>
      <x:c r="D74" s="195"/>
      <x:c r="E74" s="196"/>
      <x:c r="F74" s="195"/>
      <x:c r="G74" s="197"/>
      <x:c r="H74" s="14"/>
      <x:c r="I74" s="14"/>
      <x:c r="J74" s="14"/>
    </x:row>
    <x:row r="75" ht="58" customHeight="1">
      <x:c r="A75" s="14"/>
      <x:c r="B75" s="14"/>
      <x:c r="C75" s="195"/>
      <x:c r="D75" s="195"/>
      <x:c r="E75" s="196"/>
      <x:c r="F75" s="195"/>
      <x:c r="G75" s="197"/>
      <x:c r="H75" s="14"/>
      <x:c r="I75" s="14"/>
      <x:c r="J75" s="14"/>
    </x:row>
    <x:row r="76" ht="58" customHeight="1">
      <x:c r="A76" s="14"/>
      <x:c r="B76" s="14"/>
      <x:c r="C76" s="195"/>
      <x:c r="D76" s="195"/>
      <x:c r="E76" s="196"/>
      <x:c r="F76" s="195"/>
      <x:c r="G76" s="197"/>
      <x:c r="H76" s="14"/>
      <x:c r="I76" s="14"/>
      <x:c r="J76" s="14"/>
    </x:row>
    <x:row r="77" ht="58" customHeight="1">
      <x:c r="A77" s="14"/>
      <x:c r="B77" s="14"/>
      <x:c r="C77" s="195"/>
      <x:c r="D77" s="195"/>
      <x:c r="E77" s="196"/>
      <x:c r="F77" s="195"/>
      <x:c r="G77" s="197"/>
      <x:c r="H77" s="14"/>
      <x:c r="I77" s="14"/>
      <x:c r="J77" s="14"/>
    </x:row>
    <x:row r="78" ht="58" customHeight="1">
      <x:c r="A78" s="14"/>
      <x:c r="B78" s="14"/>
      <x:c r="C78" s="195"/>
      <x:c r="D78" s="195"/>
      <x:c r="E78" s="196"/>
      <x:c r="F78" s="195"/>
      <x:c r="G78" s="197"/>
      <x:c r="H78" s="14"/>
      <x:c r="I78" s="14"/>
      <x:c r="J78" s="14"/>
    </x:row>
    <x:row r="79" ht="58" customHeight="1">
      <x:c r="A79" s="14"/>
      <x:c r="B79" s="14"/>
      <x:c r="C79" s="195"/>
      <x:c r="D79" s="195"/>
      <x:c r="E79" s="196"/>
      <x:c r="F79" s="195"/>
      <x:c r="G79" s="197"/>
      <x:c r="H79" s="14"/>
      <x:c r="I79" s="14"/>
      <x:c r="J79" s="14"/>
    </x:row>
    <x:row r="80" ht="58" customHeight="1">
      <x:c r="A80" s="14"/>
      <x:c r="B80" s="14"/>
      <x:c r="C80" s="195"/>
      <x:c r="D80" s="195"/>
      <x:c r="E80" s="196"/>
      <x:c r="F80" s="195"/>
      <x:c r="G80" s="197"/>
      <x:c r="H80" s="14"/>
      <x:c r="I80" s="14"/>
      <x:c r="J80" s="14"/>
    </x:row>
    <x:row r="81" ht="58" customHeight="1">
      <x:c r="A81" s="14"/>
      <x:c r="B81" s="14"/>
      <x:c r="C81" s="195"/>
      <x:c r="D81" s="195"/>
      <x:c r="E81" s="196"/>
      <x:c r="F81" s="195"/>
      <x:c r="G81" s="197"/>
      <x:c r="H81" s="14"/>
      <x:c r="I81" s="14"/>
      <x:c r="J81" s="14"/>
    </x:row>
    <x:row r="82" ht="58" customHeight="1">
      <x:c r="A82" s="14"/>
      <x:c r="B82" s="14"/>
      <x:c r="C82" s="195"/>
      <x:c r="D82" s="195"/>
      <x:c r="E82" s="196"/>
      <x:c r="F82" s="195"/>
      <x:c r="G82" s="197"/>
      <x:c r="H82" s="14"/>
      <x:c r="I82" s="14"/>
      <x:c r="J82" s="14"/>
    </x:row>
    <x:row r="83" ht="58" customHeight="1">
      <x:c r="A83" s="14"/>
      <x:c r="B83" s="14"/>
      <x:c r="C83" s="195"/>
      <x:c r="D83" s="195"/>
      <x:c r="E83" s="196"/>
      <x:c r="F83" s="195"/>
      <x:c r="G83" s="197"/>
      <x:c r="H83" s="14"/>
      <x:c r="I83" s="14"/>
      <x:c r="J83" s="14"/>
    </x:row>
    <x:row r="84" ht="58" customHeight="1">
      <x:c r="A84" s="14"/>
      <x:c r="B84" s="14"/>
      <x:c r="C84" s="195"/>
      <x:c r="D84" s="195"/>
      <x:c r="E84" s="196"/>
      <x:c r="F84" s="195"/>
      <x:c r="G84" s="197"/>
      <x:c r="H84" s="14"/>
      <x:c r="I84" s="14"/>
      <x:c r="J84" s="14"/>
    </x:row>
    <x:row r="85" ht="58" customHeight="1">
      <x:c r="A85" s="14"/>
      <x:c r="B85" s="14"/>
      <x:c r="C85" s="195"/>
      <x:c r="D85" s="195"/>
      <x:c r="E85" s="196"/>
      <x:c r="F85" s="195"/>
      <x:c r="G85" s="197"/>
      <x:c r="H85" s="14"/>
      <x:c r="I85" s="14"/>
      <x:c r="J85" s="14"/>
    </x:row>
    <x:row r="86" ht="58" customHeight="1">
      <x:c r="A86" s="14"/>
      <x:c r="B86" s="14"/>
      <x:c r="C86" s="195"/>
      <x:c r="D86" s="195"/>
      <x:c r="E86" s="196"/>
      <x:c r="F86" s="195"/>
      <x:c r="G86" s="197"/>
      <x:c r="H86" s="14"/>
      <x:c r="I86" s="14"/>
      <x:c r="J86" s="14"/>
    </x:row>
    <x:row r="87" ht="58" customHeight="1">
      <x:c r="A87" s="14"/>
      <x:c r="B87" s="14"/>
      <x:c r="C87" s="195"/>
      <x:c r="D87" s="195"/>
      <x:c r="E87" s="196"/>
      <x:c r="F87" s="195"/>
      <x:c r="G87" s="197"/>
      <x:c r="H87" s="14"/>
      <x:c r="I87" s="14"/>
      <x:c r="J87" s="14"/>
    </x:row>
    <x:row r="88" ht="58" customHeight="1">
      <x:c r="A88" s="14"/>
      <x:c r="B88" s="14"/>
      <x:c r="C88" s="195"/>
      <x:c r="D88" s="195"/>
      <x:c r="E88" s="196"/>
      <x:c r="F88" s="195"/>
      <x:c r="G88" s="197"/>
      <x:c r="H88" s="14"/>
      <x:c r="I88" s="14"/>
      <x:c r="J88" s="14"/>
    </x:row>
    <x:row r="89" ht="58" customHeight="1">
      <x:c r="A89" s="14"/>
      <x:c r="B89" s="14"/>
      <x:c r="C89" s="195"/>
      <x:c r="D89" s="195"/>
      <x:c r="E89" s="196"/>
      <x:c r="F89" s="195"/>
      <x:c r="G89" s="197"/>
      <x:c r="H89" s="14"/>
      <x:c r="I89" s="14"/>
      <x:c r="J89" s="14"/>
    </x:row>
    <x:row r="90" ht="58" customHeight="1">
      <x:c r="A90" s="14"/>
      <x:c r="B90" s="14"/>
      <x:c r="C90" s="195"/>
      <x:c r="D90" s="195"/>
      <x:c r="E90" s="196"/>
      <x:c r="F90" s="195"/>
      <x:c r="G90" s="197"/>
      <x:c r="H90" s="14"/>
      <x:c r="I90" s="14"/>
      <x:c r="J90" s="14"/>
    </x:row>
    <x:row r="91" ht="58" customHeight="1">
      <x:c r="A91" s="14"/>
      <x:c r="B91" s="14"/>
      <x:c r="C91" s="195"/>
      <x:c r="D91" s="195"/>
      <x:c r="E91" s="196"/>
      <x:c r="F91" s="195"/>
      <x:c r="G91" s="197"/>
      <x:c r="H91" s="14"/>
      <x:c r="I91" s="14"/>
      <x:c r="J91" s="14"/>
    </x:row>
    <x:row r="92" ht="58" customHeight="1">
      <x:c r="A92" s="14"/>
      <x:c r="B92" s="14"/>
      <x:c r="C92" s="195"/>
      <x:c r="D92" s="195"/>
      <x:c r="E92" s="196"/>
      <x:c r="F92" s="195"/>
      <x:c r="G92" s="197"/>
      <x:c r="H92" s="14"/>
      <x:c r="I92" s="14"/>
      <x:c r="J92" s="14"/>
    </x:row>
    <x:row r="93" ht="58" customHeight="1">
      <x:c r="A93" s="14"/>
      <x:c r="B93" s="14"/>
      <x:c r="C93" s="195"/>
      <x:c r="D93" s="195"/>
      <x:c r="E93" s="196"/>
      <x:c r="F93" s="195"/>
      <x:c r="G93" s="197"/>
      <x:c r="H93" s="14"/>
      <x:c r="I93" s="14"/>
      <x:c r="J93" s="14"/>
    </x:row>
    <x:row r="94" ht="58" customHeight="1">
      <x:c r="A94" s="14"/>
      <x:c r="B94" s="14"/>
      <x:c r="C94" s="195"/>
      <x:c r="D94" s="195"/>
      <x:c r="E94" s="196"/>
      <x:c r="F94" s="195"/>
      <x:c r="G94" s="197"/>
      <x:c r="H94" s="14"/>
      <x:c r="I94" s="14"/>
      <x:c r="J94" s="14"/>
    </x:row>
    <x:row r="95" ht="58" customHeight="1">
      <x:c r="A95" s="14"/>
      <x:c r="B95" s="14"/>
      <x:c r="C95" s="195"/>
      <x:c r="D95" s="195"/>
      <x:c r="E95" s="196"/>
      <x:c r="F95" s="195"/>
      <x:c r="G95" s="197"/>
      <x:c r="H95" s="14"/>
      <x:c r="I95" s="14"/>
      <x:c r="J95" s="14"/>
    </x:row>
    <x:row r="96" ht="58" customHeight="1">
      <x:c r="A96" s="14"/>
      <x:c r="B96" s="14"/>
      <x:c r="C96" s="195"/>
      <x:c r="D96" s="195"/>
      <x:c r="E96" s="196"/>
      <x:c r="F96" s="195"/>
      <x:c r="G96" s="197"/>
      <x:c r="H96" s="14"/>
      <x:c r="I96" s="14"/>
      <x:c r="J96" s="14"/>
    </x:row>
    <x:row r="97" ht="58" customHeight="1">
      <x:c r="A97" s="14"/>
      <x:c r="B97" s="14"/>
      <x:c r="C97" s="195"/>
      <x:c r="D97" s="195"/>
      <x:c r="E97" s="196"/>
      <x:c r="F97" s="195"/>
      <x:c r="G97" s="197"/>
      <x:c r="H97" s="14"/>
      <x:c r="I97" s="14"/>
      <x:c r="J97" s="14"/>
    </x:row>
    <x:row r="98" ht="58" customHeight="1">
      <x:c r="A98" s="14"/>
      <x:c r="B98" s="14"/>
      <x:c r="C98" s="195"/>
      <x:c r="D98" s="195"/>
      <x:c r="E98" s="196"/>
      <x:c r="F98" s="195"/>
      <x:c r="G98" s="197"/>
      <x:c r="H98" s="14"/>
      <x:c r="I98" s="14"/>
      <x:c r="J98" s="14"/>
    </x:row>
    <x:row r="99" ht="58" customHeight="1">
      <x:c r="A99" s="14"/>
      <x:c r="B99" s="14"/>
      <x:c r="C99" s="195"/>
      <x:c r="D99" s="195"/>
      <x:c r="E99" s="196"/>
      <x:c r="F99" s="195"/>
      <x:c r="G99" s="197"/>
      <x:c r="H99" s="14"/>
      <x:c r="I99" s="14"/>
      <x:c r="J99" s="14"/>
    </x:row>
    <x:row r="100" ht="58" customHeight="1">
      <x:c r="A100" s="14"/>
      <x:c r="B100" s="14"/>
      <x:c r="C100" s="195"/>
      <x:c r="D100" s="195"/>
      <x:c r="E100" s="196"/>
      <x:c r="F100" s="195"/>
      <x:c r="G100" s="197"/>
      <x:c r="H100" s="14"/>
      <x:c r="I100" s="14"/>
      <x:c r="J100" s="14"/>
    </x:row>
    <x:row r="101" ht="58" customHeight="1">
      <x:c r="A101" s="14"/>
      <x:c r="B101" s="14"/>
      <x:c r="C101" s="195"/>
      <x:c r="D101" s="195"/>
      <x:c r="E101" s="196"/>
      <x:c r="F101" s="195"/>
      <x:c r="G101" s="197"/>
      <x:c r="H101" s="14"/>
      <x:c r="I101" s="14"/>
      <x:c r="J101" s="14"/>
    </x:row>
    <x:row r="102" ht="58" customHeight="1">
      <x:c r="A102" s="14"/>
      <x:c r="B102" s="14"/>
      <x:c r="C102" s="195"/>
      <x:c r="D102" s="195"/>
      <x:c r="E102" s="196"/>
      <x:c r="F102" s="195"/>
      <x:c r="G102" s="197"/>
      <x:c r="H102" s="14"/>
      <x:c r="I102" s="14"/>
      <x:c r="J102" s="14"/>
    </x:row>
    <x:row r="103" ht="58" customHeight="1">
      <x:c r="A103" s="14"/>
      <x:c r="B103" s="14"/>
      <x:c r="C103" s="195"/>
      <x:c r="D103" s="195"/>
      <x:c r="E103" s="196"/>
      <x:c r="F103" s="195"/>
      <x:c r="G103" s="197"/>
      <x:c r="H103" s="14"/>
      <x:c r="I103" s="14"/>
      <x:c r="J103" s="14"/>
    </x:row>
    <x:row r="104" ht="58" customHeight="1">
      <x:c r="A104" s="14"/>
      <x:c r="B104" s="14"/>
      <x:c r="C104" s="195"/>
      <x:c r="D104" s="195"/>
      <x:c r="E104" s="196"/>
      <x:c r="F104" s="195"/>
      <x:c r="G104" s="197"/>
      <x:c r="H104" s="14"/>
      <x:c r="I104" s="14"/>
      <x:c r="J104" s="14"/>
    </x:row>
  </x:sheetData>
  <x:mergeCells>
    <x:mergeCell ref="A1:J1"/>
    <x:mergeCell ref="A2:J2"/>
  </x:mergeCells>
  <x:dataValidations count="3">
    <x:dataValidation type="list" allowBlank="0" showDropDown="0" sqref="B5:B104">
      <x:formula1>'Motherboard'!$A$5:$A$34</x:formula1>
    </x:dataValidation>
    <x:dataValidation type="list" allowBlank="0" showDropDown="0" sqref="C5:C104">
      <x:formula1>'Lists'!$AP$5:$AP$6</x:formula1>
    </x:dataValidation>
    <x:dataValidation type="list" allowBlank="0" showDropDown="0" sqref="F5:F104">
      <x:formula1>'Lists'!$AQ$5:$AQ$6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c2c26aa0d5d488b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</x:cols>
  <x:sheetData>
    <x:row r="1" ht="30" customHeight="1">
      <x:c r="A1" s="18" t="str">
        <x:v>Monitor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  <x:c r="AE1" s="18"/>
    </x:row>
    <x:row r="2" ht="34" customHeight="1">
      <x:c r="A2" s="7" t="str">
        <x:v>モニターのパネル、実測応答、オーバーシュート、輝度、保証を管理。新製品は最初の空行へ入力してください。列追加時はFieldDefinitionsにも1行追加します。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size_inch</x:v>
      </x:c>
      <x:c r="S4" s="21" t="str">
        <x:v>resolution</x:v>
      </x:c>
      <x:c r="T4" s="21" t="str">
        <x:v>max_refresh_hz</x:v>
      </x:c>
      <x:c r="U4" s="21" t="str">
        <x:v>vrr</x:v>
      </x:c>
      <x:c r="V4" s="21" t="str">
        <x:v>measured_response_reviewed</x:v>
      </x:c>
      <x:c r="W4" s="21" t="str">
        <x:v>average_response_ms</x:v>
      </x:c>
      <x:c r="X4" s="21" t="str">
        <x:v>overshoot_class</x:v>
      </x:c>
      <x:c r="Y4" s="21" t="str">
        <x:v>brightness_nits</x:v>
      </x:c>
      <x:c r="Z4" s="21" t="str">
        <x:v>height_adjustment</x:v>
      </x:c>
      <x:c r="AA4" s="21" t="str">
        <x:v>warranty_years</x:v>
      </x:c>
      <x:c r="AB4" s="21" t="str">
        <x:v>panel_type</x:v>
      </x:c>
      <x:c r="AC4" s="21" t="str">
        <x:v>contrast_ratio</x:v>
      </x:c>
      <x:c r="AD4" s="21" t="str">
        <x:v>color_gamut</x:v>
      </x:c>
      <x:c r="AE4" s="21" t="str">
        <x:v>inputs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5"/>
      <x:c r="S5" s="14"/>
      <x:c r="T5" s="25"/>
      <x:c r="U5" s="14"/>
      <x:c r="V5" s="14"/>
      <x:c r="W5" s="25"/>
      <x:c r="X5" s="14"/>
      <x:c r="Y5" s="25"/>
      <x:c r="Z5" s="14"/>
      <x:c r="AA5" s="25"/>
      <x:c r="AB5" s="14"/>
      <x:c r="AC5" s="25"/>
      <x:c r="AD5" s="14"/>
      <x:c r="AE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5"/>
      <x:c r="S6" s="14"/>
      <x:c r="T6" s="25"/>
      <x:c r="U6" s="14"/>
      <x:c r="V6" s="14"/>
      <x:c r="W6" s="25"/>
      <x:c r="X6" s="14"/>
      <x:c r="Y6" s="25"/>
      <x:c r="Z6" s="14"/>
      <x:c r="AA6" s="25"/>
      <x:c r="AB6" s="14"/>
      <x:c r="AC6" s="25"/>
      <x:c r="AD6" s="14"/>
      <x:c r="AE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5"/>
      <x:c r="S7" s="14"/>
      <x:c r="T7" s="25"/>
      <x:c r="U7" s="14"/>
      <x:c r="V7" s="14"/>
      <x:c r="W7" s="25"/>
      <x:c r="X7" s="14"/>
      <x:c r="Y7" s="25"/>
      <x:c r="Z7" s="14"/>
      <x:c r="AA7" s="25"/>
      <x:c r="AB7" s="14"/>
      <x:c r="AC7" s="25"/>
      <x:c r="AD7" s="14"/>
      <x:c r="AE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5"/>
      <x:c r="S8" s="14"/>
      <x:c r="T8" s="25"/>
      <x:c r="U8" s="14"/>
      <x:c r="V8" s="14"/>
      <x:c r="W8" s="25"/>
      <x:c r="X8" s="14"/>
      <x:c r="Y8" s="25"/>
      <x:c r="Z8" s="14"/>
      <x:c r="AA8" s="25"/>
      <x:c r="AB8" s="14"/>
      <x:c r="AC8" s="25"/>
      <x:c r="AD8" s="14"/>
      <x:c r="AE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5"/>
      <x:c r="S9" s="14"/>
      <x:c r="T9" s="25"/>
      <x:c r="U9" s="14"/>
      <x:c r="V9" s="14"/>
      <x:c r="W9" s="25"/>
      <x:c r="X9" s="14"/>
      <x:c r="Y9" s="25"/>
      <x:c r="Z9" s="14"/>
      <x:c r="AA9" s="25"/>
      <x:c r="AB9" s="14"/>
      <x:c r="AC9" s="25"/>
      <x:c r="AD9" s="14"/>
      <x:c r="AE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5"/>
      <x:c r="S10" s="14"/>
      <x:c r="T10" s="25"/>
      <x:c r="U10" s="14"/>
      <x:c r="V10" s="14"/>
      <x:c r="W10" s="25"/>
      <x:c r="X10" s="14"/>
      <x:c r="Y10" s="25"/>
      <x:c r="Z10" s="14"/>
      <x:c r="AA10" s="25"/>
      <x:c r="AB10" s="14"/>
      <x:c r="AC10" s="25"/>
      <x:c r="AD10" s="14"/>
      <x:c r="AE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5"/>
      <x:c r="S11" s="14"/>
      <x:c r="T11" s="25"/>
      <x:c r="U11" s="14"/>
      <x:c r="V11" s="14"/>
      <x:c r="W11" s="25"/>
      <x:c r="X11" s="14"/>
      <x:c r="Y11" s="25"/>
      <x:c r="Z11" s="14"/>
      <x:c r="AA11" s="25"/>
      <x:c r="AB11" s="14"/>
      <x:c r="AC11" s="25"/>
      <x:c r="AD11" s="14"/>
      <x:c r="AE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5"/>
      <x:c r="S12" s="14"/>
      <x:c r="T12" s="25"/>
      <x:c r="U12" s="14"/>
      <x:c r="V12" s="14"/>
      <x:c r="W12" s="25"/>
      <x:c r="X12" s="14"/>
      <x:c r="Y12" s="25"/>
      <x:c r="Z12" s="14"/>
      <x:c r="AA12" s="25"/>
      <x:c r="AB12" s="14"/>
      <x:c r="AC12" s="25"/>
      <x:c r="AD12" s="14"/>
      <x:c r="AE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5"/>
      <x:c r="S13" s="14"/>
      <x:c r="T13" s="25"/>
      <x:c r="U13" s="14"/>
      <x:c r="V13" s="14"/>
      <x:c r="W13" s="25"/>
      <x:c r="X13" s="14"/>
      <x:c r="Y13" s="25"/>
      <x:c r="Z13" s="14"/>
      <x:c r="AA13" s="25"/>
      <x:c r="AB13" s="14"/>
      <x:c r="AC13" s="25"/>
      <x:c r="AD13" s="14"/>
      <x:c r="AE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5"/>
      <x:c r="S14" s="14"/>
      <x:c r="T14" s="25"/>
      <x:c r="U14" s="14"/>
      <x:c r="V14" s="14"/>
      <x:c r="W14" s="25"/>
      <x:c r="X14" s="14"/>
      <x:c r="Y14" s="25"/>
      <x:c r="Z14" s="14"/>
      <x:c r="AA14" s="25"/>
      <x:c r="AB14" s="14"/>
      <x:c r="AC14" s="25"/>
      <x:c r="AD14" s="14"/>
      <x:c r="AE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5"/>
      <x:c r="S15" s="14"/>
      <x:c r="T15" s="25"/>
      <x:c r="U15" s="14"/>
      <x:c r="V15" s="14"/>
      <x:c r="W15" s="25"/>
      <x:c r="X15" s="14"/>
      <x:c r="Y15" s="25"/>
      <x:c r="Z15" s="14"/>
      <x:c r="AA15" s="25"/>
      <x:c r="AB15" s="14"/>
      <x:c r="AC15" s="25"/>
      <x:c r="AD15" s="14"/>
      <x:c r="AE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5"/>
      <x:c r="S16" s="14"/>
      <x:c r="T16" s="25"/>
      <x:c r="U16" s="14"/>
      <x:c r="V16" s="14"/>
      <x:c r="W16" s="25"/>
      <x:c r="X16" s="14"/>
      <x:c r="Y16" s="25"/>
      <x:c r="Z16" s="14"/>
      <x:c r="AA16" s="25"/>
      <x:c r="AB16" s="14"/>
      <x:c r="AC16" s="25"/>
      <x:c r="AD16" s="14"/>
      <x:c r="AE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5"/>
      <x:c r="S17" s="14"/>
      <x:c r="T17" s="25"/>
      <x:c r="U17" s="14"/>
      <x:c r="V17" s="14"/>
      <x:c r="W17" s="25"/>
      <x:c r="X17" s="14"/>
      <x:c r="Y17" s="25"/>
      <x:c r="Z17" s="14"/>
      <x:c r="AA17" s="25"/>
      <x:c r="AB17" s="14"/>
      <x:c r="AC17" s="25"/>
      <x:c r="AD17" s="14"/>
      <x:c r="AE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5"/>
      <x:c r="S18" s="14"/>
      <x:c r="T18" s="25"/>
      <x:c r="U18" s="14"/>
      <x:c r="V18" s="14"/>
      <x:c r="W18" s="25"/>
      <x:c r="X18" s="14"/>
      <x:c r="Y18" s="25"/>
      <x:c r="Z18" s="14"/>
      <x:c r="AA18" s="25"/>
      <x:c r="AB18" s="14"/>
      <x:c r="AC18" s="25"/>
      <x:c r="AD18" s="14"/>
      <x:c r="AE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5"/>
      <x:c r="S19" s="14"/>
      <x:c r="T19" s="25"/>
      <x:c r="U19" s="14"/>
      <x:c r="V19" s="14"/>
      <x:c r="W19" s="25"/>
      <x:c r="X19" s="14"/>
      <x:c r="Y19" s="25"/>
      <x:c r="Z19" s="14"/>
      <x:c r="AA19" s="25"/>
      <x:c r="AB19" s="14"/>
      <x:c r="AC19" s="25"/>
      <x:c r="AD19" s="14"/>
      <x:c r="AE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5"/>
      <x:c r="S20" s="14"/>
      <x:c r="T20" s="25"/>
      <x:c r="U20" s="14"/>
      <x:c r="V20" s="14"/>
      <x:c r="W20" s="25"/>
      <x:c r="X20" s="14"/>
      <x:c r="Y20" s="25"/>
      <x:c r="Z20" s="14"/>
      <x:c r="AA20" s="25"/>
      <x:c r="AB20" s="14"/>
      <x:c r="AC20" s="25"/>
      <x:c r="AD20" s="14"/>
      <x:c r="AE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5"/>
      <x:c r="S21" s="14"/>
      <x:c r="T21" s="25"/>
      <x:c r="U21" s="14"/>
      <x:c r="V21" s="14"/>
      <x:c r="W21" s="25"/>
      <x:c r="X21" s="14"/>
      <x:c r="Y21" s="25"/>
      <x:c r="Z21" s="14"/>
      <x:c r="AA21" s="25"/>
      <x:c r="AB21" s="14"/>
      <x:c r="AC21" s="25"/>
      <x:c r="AD21" s="14"/>
      <x:c r="AE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5"/>
      <x:c r="S22" s="14"/>
      <x:c r="T22" s="25"/>
      <x:c r="U22" s="14"/>
      <x:c r="V22" s="14"/>
      <x:c r="W22" s="25"/>
      <x:c r="X22" s="14"/>
      <x:c r="Y22" s="25"/>
      <x:c r="Z22" s="14"/>
      <x:c r="AA22" s="25"/>
      <x:c r="AB22" s="14"/>
      <x:c r="AC22" s="25"/>
      <x:c r="AD22" s="14"/>
      <x:c r="AE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5"/>
      <x:c r="S23" s="14"/>
      <x:c r="T23" s="25"/>
      <x:c r="U23" s="14"/>
      <x:c r="V23" s="14"/>
      <x:c r="W23" s="25"/>
      <x:c r="X23" s="14"/>
      <x:c r="Y23" s="25"/>
      <x:c r="Z23" s="14"/>
      <x:c r="AA23" s="25"/>
      <x:c r="AB23" s="14"/>
      <x:c r="AC23" s="25"/>
      <x:c r="AD23" s="14"/>
      <x:c r="AE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5"/>
      <x:c r="S24" s="14"/>
      <x:c r="T24" s="25"/>
      <x:c r="U24" s="14"/>
      <x:c r="V24" s="14"/>
      <x:c r="W24" s="25"/>
      <x:c r="X24" s="14"/>
      <x:c r="Y24" s="25"/>
      <x:c r="Z24" s="14"/>
      <x:c r="AA24" s="25"/>
      <x:c r="AB24" s="14"/>
      <x:c r="AC24" s="25"/>
      <x:c r="AD24" s="14"/>
      <x:c r="AE24" s="14"/>
    </x:row>
  </x:sheetData>
  <x:mergeCells>
    <x:mergeCell ref="A1:AE1"/>
    <x:mergeCell ref="A2:AE2"/>
  </x:mergeCells>
  <x:conditionalFormatting sqref="J5:J24">
    <x:cfRule type="containsText" dxfId="18" priority="1" operator="containsText" text="approved"/>
    <x:cfRule type="containsText" dxfId="19" priority="2" operator="containsText" text="preferred"/>
    <x:cfRule type="containsText" dxfId="20" priority="3" operator="containsText" text="rejected"/>
  </x:conditionalFormatting>
  <x:dataValidations count="8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'Lists'!$AH$5:$AH$8</x:formula1>
    </x:dataValidation>
    <x:dataValidation type="list" sqref="U5:U24">
      <x:formula1>'Lists'!$C$5:$C$6</x:formula1>
    </x:dataValidation>
    <x:dataValidation type="list" sqref="V5:V24">
      <x:formula1>'Lists'!$C$5:$C$6</x:formula1>
    </x:dataValidation>
    <x:dataValidation type="list" sqref="X5:X24">
      <x:formula1>'Lists'!$AI$5:$AI$9</x:formula1>
    </x:dataValidation>
    <x:dataValidation type="list" sqref="Z5:Z24">
      <x:formula1>'Lists'!$C$5:$C$6</x:formula1>
    </x:dataValidation>
    <x:dataValidation type="list" sqref="AB5:AB24">
      <x:formula1>'Lists'!$AJ$5:$AJ$12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e5d49c97004f58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28" hidden="0" customWidth="1"/>
  </x:cols>
  <x:sheetData>
    <x:row r="1" ht="30" customHeight="1">
      <x:c r="A1" s="28" t="str">
        <x:v>追加識別子</x:v>
      </x:c>
      <x:c r="B1" s="28"/>
      <x:c r="C1" s="28"/>
      <x:c r="D1" s="28"/>
      <x:c r="E1" s="28"/>
      <x:c r="F1" s="28"/>
      <x:c r="G1" s="28"/>
    </x:row>
    <x:row r="2" ht="34" customHeight="1">
      <x:c r="A2" s="7" t="str">
        <x:v>主要ASIN・JAN・部品番号はカテゴリシートへ入力し、追加・旧・地域別識別子だけをここへ登録します。</x:v>
      </x:c>
      <x:c r="B2" s="7"/>
      <x:c r="C2" s="7"/>
      <x:c r="D2" s="7"/>
      <x:c r="E2" s="7"/>
      <x:c r="F2" s="7"/>
      <x:c r="G2" s="7"/>
    </x:row>
    <x:row r="4" ht="38" customHeight="1">
      <x:c r="A4" s="31" t="str">
        <x:v>product_id</x:v>
      </x:c>
      <x:c r="B4" s="31" t="str">
        <x:v>identifier_type</x:v>
      </x:c>
      <x:c r="C4" s="31" t="str">
        <x:v>identifier_value</x:v>
      </x:c>
      <x:c r="D4" s="31" t="str">
        <x:v>region</x:v>
      </x:c>
      <x:c r="E4" s="31" t="str">
        <x:v>condition</x:v>
      </x:c>
      <x:c r="F4" s="31" t="str">
        <x:v>is_primary</x:v>
      </x:c>
      <x:c r="G4" s="31" t="str">
        <x:v>notes</x:v>
      </x:c>
    </x:row>
    <x:row r="5">
      <x:c r="A5" s="14"/>
      <x:c r="B5" s="14"/>
      <x:c r="C5" s="14"/>
      <x:c r="D5" s="14"/>
      <x:c r="E5" s="14"/>
      <x:c r="F5" s="14"/>
      <x:c r="G5" s="14"/>
    </x:row>
    <x:row r="6">
      <x:c r="A6" s="14"/>
      <x:c r="B6" s="14"/>
      <x:c r="C6" s="14"/>
      <x:c r="D6" s="14"/>
      <x:c r="E6" s="14"/>
      <x:c r="F6" s="14"/>
      <x:c r="G6" s="14"/>
    </x:row>
    <x:row r="7">
      <x:c r="A7" s="14"/>
      <x:c r="B7" s="14"/>
      <x:c r="C7" s="14"/>
      <x:c r="D7" s="14"/>
      <x:c r="E7" s="14"/>
      <x:c r="F7" s="14"/>
      <x:c r="G7" s="14"/>
    </x:row>
    <x:row r="8">
      <x:c r="A8" s="14"/>
      <x:c r="B8" s="14"/>
      <x:c r="C8" s="14"/>
      <x:c r="D8" s="14"/>
      <x:c r="E8" s="14"/>
      <x:c r="F8" s="14"/>
      <x:c r="G8" s="14"/>
    </x:row>
    <x:row r="9">
      <x:c r="A9" s="14"/>
      <x:c r="B9" s="14"/>
      <x:c r="C9" s="14"/>
      <x:c r="D9" s="14"/>
      <x:c r="E9" s="14"/>
      <x:c r="F9" s="14"/>
      <x:c r="G9" s="14"/>
    </x:row>
    <x:row r="10">
      <x:c r="A10" s="14"/>
      <x:c r="B10" s="14"/>
      <x:c r="C10" s="14"/>
      <x:c r="D10" s="14"/>
      <x:c r="E10" s="14"/>
      <x:c r="F10" s="14"/>
      <x:c r="G10" s="14"/>
    </x:row>
    <x:row r="11">
      <x:c r="A11" s="14"/>
      <x:c r="B11" s="14"/>
      <x:c r="C11" s="14"/>
      <x:c r="D11" s="14"/>
      <x:c r="E11" s="14"/>
      <x:c r="F11" s="14"/>
      <x:c r="G11" s="14"/>
    </x:row>
    <x:row r="12">
      <x:c r="A12" s="14"/>
      <x:c r="B12" s="14"/>
      <x:c r="C12" s="14"/>
      <x:c r="D12" s="14"/>
      <x:c r="E12" s="14"/>
      <x:c r="F12" s="14"/>
      <x:c r="G12" s="14"/>
    </x:row>
    <x:row r="13">
      <x:c r="A13" s="14"/>
      <x:c r="B13" s="14"/>
      <x:c r="C13" s="14"/>
      <x:c r="D13" s="14"/>
      <x:c r="E13" s="14"/>
      <x:c r="F13" s="14"/>
      <x:c r="G13" s="14"/>
    </x:row>
    <x:row r="14">
      <x:c r="A14" s="14"/>
      <x:c r="B14" s="14"/>
      <x:c r="C14" s="14"/>
      <x:c r="D14" s="14"/>
      <x:c r="E14" s="14"/>
      <x:c r="F14" s="14"/>
      <x:c r="G14" s="14"/>
    </x:row>
    <x:row r="15">
      <x:c r="A15" s="14"/>
      <x:c r="B15" s="14"/>
      <x:c r="C15" s="14"/>
      <x:c r="D15" s="14"/>
      <x:c r="E15" s="14"/>
      <x:c r="F15" s="14"/>
      <x:c r="G15" s="14"/>
    </x:row>
    <x:row r="16">
      <x:c r="A16" s="14"/>
      <x:c r="B16" s="14"/>
      <x:c r="C16" s="14"/>
      <x:c r="D16" s="14"/>
      <x:c r="E16" s="14"/>
      <x:c r="F16" s="14"/>
      <x:c r="G16" s="14"/>
    </x:row>
    <x:row r="17">
      <x:c r="A17" s="14"/>
      <x:c r="B17" s="14"/>
      <x:c r="C17" s="14"/>
      <x:c r="D17" s="14"/>
      <x:c r="E17" s="14"/>
      <x:c r="F17" s="14"/>
      <x:c r="G17" s="14"/>
    </x:row>
    <x:row r="18">
      <x:c r="A18" s="14"/>
      <x:c r="B18" s="14"/>
      <x:c r="C18" s="14"/>
      <x:c r="D18" s="14"/>
      <x:c r="E18" s="14"/>
      <x:c r="F18" s="14"/>
      <x:c r="G18" s="14"/>
    </x:row>
    <x:row r="19">
      <x:c r="A19" s="14"/>
      <x:c r="B19" s="14"/>
      <x:c r="C19" s="14"/>
      <x:c r="D19" s="14"/>
      <x:c r="E19" s="14"/>
      <x:c r="F19" s="14"/>
      <x:c r="G19" s="14"/>
    </x:row>
    <x:row r="20">
      <x:c r="A20" s="14"/>
      <x:c r="B20" s="14"/>
      <x:c r="C20" s="14"/>
      <x:c r="D20" s="14"/>
      <x:c r="E20" s="14"/>
      <x:c r="F20" s="14"/>
      <x:c r="G20" s="14"/>
    </x:row>
    <x:row r="21">
      <x:c r="A21" s="14"/>
      <x:c r="B21" s="14"/>
      <x:c r="C21" s="14"/>
      <x:c r="D21" s="14"/>
      <x:c r="E21" s="14"/>
      <x:c r="F21" s="14"/>
      <x:c r="G21" s="14"/>
    </x:row>
    <x:row r="22">
      <x:c r="A22" s="14"/>
      <x:c r="B22" s="14"/>
      <x:c r="C22" s="14"/>
      <x:c r="D22" s="14"/>
      <x:c r="E22" s="14"/>
      <x:c r="F22" s="14"/>
      <x:c r="G22" s="14"/>
    </x:row>
    <x:row r="23">
      <x:c r="A23" s="14"/>
      <x:c r="B23" s="14"/>
      <x:c r="C23" s="14"/>
      <x:c r="D23" s="14"/>
      <x:c r="E23" s="14"/>
      <x:c r="F23" s="14"/>
      <x:c r="G23" s="14"/>
    </x:row>
    <x:row r="24">
      <x:c r="A24" s="14"/>
      <x:c r="B24" s="14"/>
      <x:c r="C24" s="14"/>
      <x:c r="D24" s="14"/>
      <x:c r="E24" s="14"/>
      <x:c r="F24" s="14"/>
      <x:c r="G24" s="14"/>
    </x:row>
    <x:row r="25">
      <x:c r="A25" s="14"/>
      <x:c r="B25" s="14"/>
      <x:c r="C25" s="14"/>
      <x:c r="D25" s="14"/>
      <x:c r="E25" s="14"/>
      <x:c r="F25" s="14"/>
      <x:c r="G25" s="14"/>
    </x:row>
    <x:row r="26">
      <x:c r="A26" s="14"/>
      <x:c r="B26" s="14"/>
      <x:c r="C26" s="14"/>
      <x:c r="D26" s="14"/>
      <x:c r="E26" s="14"/>
      <x:c r="F26" s="14"/>
      <x:c r="G26" s="14"/>
    </x:row>
    <x:row r="27">
      <x:c r="A27" s="14"/>
      <x:c r="B27" s="14"/>
      <x:c r="C27" s="14"/>
      <x:c r="D27" s="14"/>
      <x:c r="E27" s="14"/>
      <x:c r="F27" s="14"/>
      <x:c r="G27" s="14"/>
    </x:row>
    <x:row r="28">
      <x:c r="A28" s="14"/>
      <x:c r="B28" s="14"/>
      <x:c r="C28" s="14"/>
      <x:c r="D28" s="14"/>
      <x:c r="E28" s="14"/>
      <x:c r="F28" s="14"/>
      <x:c r="G28" s="14"/>
    </x:row>
    <x:row r="29">
      <x:c r="A29" s="14"/>
      <x:c r="B29" s="14"/>
      <x:c r="C29" s="14"/>
      <x:c r="D29" s="14"/>
      <x:c r="E29" s="14"/>
      <x:c r="F29" s="14"/>
      <x:c r="G29" s="14"/>
    </x:row>
    <x:row r="30">
      <x:c r="A30" s="14"/>
      <x:c r="B30" s="14"/>
      <x:c r="C30" s="14"/>
      <x:c r="D30" s="14"/>
      <x:c r="E30" s="14"/>
      <x:c r="F30" s="14"/>
      <x:c r="G30" s="14"/>
    </x:row>
    <x:row r="31">
      <x:c r="A31" s="14"/>
      <x:c r="B31" s="14"/>
      <x:c r="C31" s="14"/>
      <x:c r="D31" s="14"/>
      <x:c r="E31" s="14"/>
      <x:c r="F31" s="14"/>
      <x:c r="G31" s="14"/>
    </x:row>
    <x:row r="32">
      <x:c r="A32" s="14"/>
      <x:c r="B32" s="14"/>
      <x:c r="C32" s="14"/>
      <x:c r="D32" s="14"/>
      <x:c r="E32" s="14"/>
      <x:c r="F32" s="14"/>
      <x:c r="G32" s="14"/>
    </x:row>
    <x:row r="33">
      <x:c r="A33" s="14"/>
      <x:c r="B33" s="14"/>
      <x:c r="C33" s="14"/>
      <x:c r="D33" s="14"/>
      <x:c r="E33" s="14"/>
      <x:c r="F33" s="14"/>
      <x:c r="G33" s="14"/>
    </x:row>
    <x:row r="34">
      <x:c r="A34" s="14"/>
      <x:c r="B34" s="14"/>
      <x:c r="C34" s="14"/>
      <x:c r="D34" s="14"/>
      <x:c r="E34" s="14"/>
      <x:c r="F34" s="14"/>
      <x:c r="G34" s="14"/>
    </x:row>
    <x:row r="35">
      <x:c r="A35" s="14"/>
      <x:c r="B35" s="14"/>
      <x:c r="C35" s="14"/>
      <x:c r="D35" s="14"/>
      <x:c r="E35" s="14"/>
      <x:c r="F35" s="14"/>
      <x:c r="G35" s="14"/>
    </x:row>
    <x:row r="36">
      <x:c r="A36" s="14"/>
      <x:c r="B36" s="14"/>
      <x:c r="C36" s="14"/>
      <x:c r="D36" s="14"/>
      <x:c r="E36" s="14"/>
      <x:c r="F36" s="14"/>
      <x:c r="G36" s="14"/>
    </x:row>
    <x:row r="37">
      <x:c r="A37" s="14"/>
      <x:c r="B37" s="14"/>
      <x:c r="C37" s="14"/>
      <x:c r="D37" s="14"/>
      <x:c r="E37" s="14"/>
      <x:c r="F37" s="14"/>
      <x:c r="G37" s="14"/>
    </x:row>
    <x:row r="38">
      <x:c r="A38" s="14"/>
      <x:c r="B38" s="14"/>
      <x:c r="C38" s="14"/>
      <x:c r="D38" s="14"/>
      <x:c r="E38" s="14"/>
      <x:c r="F38" s="14"/>
      <x:c r="G38" s="14"/>
    </x:row>
    <x:row r="39">
      <x:c r="A39" s="14"/>
      <x:c r="B39" s="14"/>
      <x:c r="C39" s="14"/>
      <x:c r="D39" s="14"/>
      <x:c r="E39" s="14"/>
      <x:c r="F39" s="14"/>
      <x:c r="G39" s="14"/>
    </x:row>
    <x:row r="40">
      <x:c r="A40" s="14"/>
      <x:c r="B40" s="14"/>
      <x:c r="C40" s="14"/>
      <x:c r="D40" s="14"/>
      <x:c r="E40" s="14"/>
      <x:c r="F40" s="14"/>
      <x:c r="G40" s="14"/>
    </x:row>
    <x:row r="41">
      <x:c r="A41" s="14"/>
      <x:c r="B41" s="14"/>
      <x:c r="C41" s="14"/>
      <x:c r="D41" s="14"/>
      <x:c r="E41" s="14"/>
      <x:c r="F41" s="14"/>
      <x:c r="G41" s="14"/>
    </x:row>
    <x:row r="42">
      <x:c r="A42" s="14"/>
      <x:c r="B42" s="14"/>
      <x:c r="C42" s="14"/>
      <x:c r="D42" s="14"/>
      <x:c r="E42" s="14"/>
      <x:c r="F42" s="14"/>
      <x:c r="G42" s="14"/>
    </x:row>
    <x:row r="43">
      <x:c r="A43" s="14"/>
      <x:c r="B43" s="14"/>
      <x:c r="C43" s="14"/>
      <x:c r="D43" s="14"/>
      <x:c r="E43" s="14"/>
      <x:c r="F43" s="14"/>
      <x:c r="G43" s="14"/>
    </x:row>
    <x:row r="44">
      <x:c r="A44" s="14"/>
      <x:c r="B44" s="14"/>
      <x:c r="C44" s="14"/>
      <x:c r="D44" s="14"/>
      <x:c r="E44" s="14"/>
      <x:c r="F44" s="14"/>
      <x:c r="G44" s="14"/>
    </x:row>
  </x:sheetData>
  <x:mergeCells>
    <x:mergeCell ref="A1:G1"/>
    <x:mergeCell ref="A2:G2"/>
  </x:mergeCells>
  <x:dataValidations count="4">
    <x:dataValidation type="list" sqref="B5:B44">
      <x:formula1>'Lists'!$K$5:$K$11</x:formula1>
    </x:dataValidation>
    <x:dataValidation type="list" sqref="D5:D44">
      <x:formula1>'Lists'!$M$5:$M$9</x:formula1>
    </x:dataValidation>
    <x:dataValidation type="list" sqref="E5:E44">
      <x:formula1>'Lists'!$L$5:$L$9</x:formula1>
    </x:dataValidation>
    <x:dataValidation type="list" sqref="F5:F44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8dba7c1696c4161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2" hidden="0" customWidth="1"/>
    <x:col min="3" max="3" width="20" hidden="0" customWidth="1"/>
    <x:col min="4" max="4" width="38" hidden="0" customWidth="1"/>
    <x:col min="5" max="5" width="52" hidden="0" customWidth="1"/>
    <x:col min="6" max="6" width="14" hidden="0" customWidth="1"/>
    <x:col min="7" max="7" width="40" hidden="0" customWidth="1"/>
    <x:col min="8" max="8" width="16" hidden="0" customWidth="1"/>
    <x:col min="9" max="9" width="48" hidden="0" customWidth="1"/>
  </x:cols>
  <x:sheetData>
    <x:row r="1" ht="30" customHeight="1">
      <x:c r="A1" s="34" t="str">
        <x:v>根拠資料</x:v>
      </x:c>
      <x:c r="B1" s="34"/>
      <x:c r="C1" s="34"/>
      <x:c r="D1" s="34"/>
      <x:c r="E1" s="34"/>
      <x:c r="F1" s="34"/>
      <x:c r="G1" s="34"/>
      <x:c r="H1" s="34"/>
      <x:c r="I1" s="34"/>
    </x:row>
    <x:row r="2" ht="34" customHeight="1">
      <x:c r="A2" s="7" t="str">
        <x:v>公式仕様・独立レビュー・検証記事を1資料1行で登録します。supportsは確認できたJSONフィールド名を改行区切りで記入します。</x:v>
      </x:c>
      <x:c r="B2" s="7"/>
      <x:c r="C2" s="7"/>
      <x:c r="D2" s="7"/>
      <x:c r="E2" s="7"/>
      <x:c r="F2" s="7"/>
      <x:c r="G2" s="7"/>
      <x:c r="H2" s="7"/>
      <x:c r="I2" s="7"/>
    </x:row>
    <x:row r="4" ht="34" customHeight="1">
      <x:c r="A4" s="124" t="str">
        <x:v>evidence_id</x:v>
      </x:c>
      <x:c r="B4" s="124" t="str">
        <x:v>product_id</x:v>
      </x:c>
      <x:c r="C4" s="124" t="str">
        <x:v>kind</x:v>
      </x:c>
      <x:c r="D4" s="124" t="str">
        <x:v>title</x:v>
      </x:c>
      <x:c r="E4" s="124" t="str">
        <x:v>url</x:v>
      </x:c>
      <x:c r="F4" s="124" t="str">
        <x:v>checked_at</x:v>
      </x:c>
      <x:c r="G4" s="124" t="str">
        <x:v>supports</x:v>
      </x:c>
      <x:c r="H4" s="124" t="str">
        <x:v>reviewer</x:v>
      </x:c>
      <x:c r="I4" s="124" t="str">
        <x:v>notes</x:v>
      </x:c>
    </x:row>
    <x:row r="5" ht="58" customHeight="1">
      <x:c r="A5" t="str">
        <x:v>amd-ryzen-5-5500-official</x:v>
      </x:c>
      <x:c r="B5" t="str">
        <x:v>amd-ryzen-5-5500</x:v>
      </x:c>
      <x:c r="C5" t="str">
        <x:v>manufacturer</x:v>
      </x:c>
      <x:c r="D5" s="121" t="str">
        <x:v>AMD Ryzen 5 5500 公式仕様・発売情報</x:v>
      </x:c>
      <x:c r="E5" s="121" t="str">
        <x:v>https://www.amd.com/en/newsroom/press-releases/2022-3-15-amd-launches-the-ultimate-gaming-processor-brings.html</x:v>
      </x:c>
      <x:c r="F5" s="125" t="n">
        <x:v>46218</x:v>
      </x:c>
      <x:c r="G5" s="121" t="str">
        <x:v>specs.socket
specs.cores
specs.threads
specs.architecture
specs.release_date
specs.launch_period
specs.generation</x:v>
      </x:c>
      <x:c r="H5" s="121" t="str">
        <x:v>Codex</x:v>
      </x:c>
      <x:c r="I5" s="121" t="str">
        <x:v>発売日は公式の一般販売開始日を優先。日付を特定できない場合はlaunch_periodと精度のみ登録。</x:v>
      </x:c>
    </x:row>
    <x:row r="6" ht="58" customHeight="1">
      <x:c r="A6" t="str">
        <x:v>amd-ryzen-5-5500-passmark</x:v>
      </x:c>
      <x:c r="B6" t="str">
        <x:v>amd-ryzen-5-5500</x:v>
      </x:c>
      <x:c r="C6" t="str">
        <x:v>technical_database</x:v>
      </x:c>
      <x:c r="D6" s="121" t="str">
        <x:v>AMD Ryzen 5 5500 PassMark benchmark</x:v>
      </x:c>
      <x:c r="E6" s="121" t="str">
        <x:v>https://www.cpubenchmark.net/cpu_lookup.php?cpu=AMD+Ryzen+5+5500&amp;id=4807</x:v>
      </x:c>
      <x:c r="F6" s="125" t="n">
        <x:v>46218</x:v>
      </x:c>
      <x:c r="G6" s="121" t="str">
        <x:v>specs.passmark_cpu_mark
specs.passmark_single_thread_mark
specs.passmark_checked_at
specs.tdp_w</x:v>
      </x:c>
      <x:c r="H6" s="121" t="str">
        <x:v>Codex</x:v>
      </x:c>
      <x:c r="I6" s="121" t="str">
        <x:v>CPU Mega List（最終更新2026-07-11）から取得。スコアは投稿サンプルの更新で変動します。</x:v>
      </x:c>
    </x:row>
    <x:row r="7" ht="58" customHeight="1">
      <x:c r="A7" t="str">
        <x:v>amd-ryzen-5-5500gt-official</x:v>
      </x:c>
      <x:c r="B7" t="str">
        <x:v>amd-ryzen-5-5500gt</x:v>
      </x:c>
      <x:c r="C7" t="str">
        <x:v>manufacturer</x:v>
      </x:c>
      <x:c r="D7" s="121" t="str">
        <x:v>AMD Ryzen 5 5500GT 公式仕様・発売情報</x:v>
      </x:c>
      <x:c r="E7" s="121" t="str">
        <x:v>https://www.amd.com/en/newsroom/press-releases/2024-1-8-amd-reveals-next-gen-desktop-processors-for-extrem.html</x:v>
      </x:c>
      <x:c r="F7" s="125" t="n">
        <x:v>46218</x:v>
      </x:c>
      <x:c r="G7" s="121" t="str">
        <x:v>specs.socket
specs.cores
specs.threads
specs.architecture
specs.release_date
specs.launch_period
specs.generation</x:v>
      </x:c>
      <x:c r="H7" s="121" t="str">
        <x:v>Codex</x:v>
      </x:c>
      <x:c r="I7" s="121" t="str">
        <x:v>発売日は公式の一般販売開始日を優先。日付を特定できない場合はlaunch_periodと精度のみ登録。</x:v>
      </x:c>
    </x:row>
    <x:row r="8" ht="58" customHeight="1">
      <x:c r="A8" t="str">
        <x:v>amd-ryzen-5-5500gt-passmark</x:v>
      </x:c>
      <x:c r="B8" t="str">
        <x:v>amd-ryzen-5-5500gt</x:v>
      </x:c>
      <x:c r="C8" t="str">
        <x:v>technical_database</x:v>
      </x:c>
      <x:c r="D8" s="121" t="str">
        <x:v>AMD Ryzen 5 5500GT PassMark benchmark</x:v>
      </x:c>
      <x:c r="E8" s="121" t="str">
        <x:v>https://www.cpubenchmark.net/cpu_lookup.php?cpu=AMD+Ryzen+5+5500GT&amp;id=5894</x:v>
      </x:c>
      <x:c r="F8" s="125" t="n">
        <x:v>46218</x:v>
      </x:c>
      <x:c r="G8" s="121" t="str">
        <x:v>specs.passmark_cpu_mark
specs.passmark_single_thread_mark
specs.passmark_checked_at
specs.tdp_w</x:v>
      </x:c>
      <x:c r="H8" s="121" t="str">
        <x:v>Codex</x:v>
      </x:c>
      <x:c r="I8" s="121" t="str">
        <x:v>CPU Mega List（最終更新2026-07-11）から取得。スコアは投稿サンプルの更新で変動します。</x:v>
      </x:c>
    </x:row>
    <x:row r="9" ht="58" customHeight="1">
      <x:c r="A9" t="str">
        <x:v>amd-ryzen-5-5600-official</x:v>
      </x:c>
      <x:c r="B9" t="str">
        <x:v>amd-ryzen-5-5600</x:v>
      </x:c>
      <x:c r="C9" t="str">
        <x:v>manufacturer</x:v>
      </x:c>
      <x:c r="D9" s="121" t="str">
        <x:v>AMD Ryzen 5 5600 公式仕様・発売情報</x:v>
      </x:c>
      <x:c r="E9" s="121" t="str">
        <x:v>https://www.amd.com/en/newsroom/press-releases/2022-3-15-amd-launches-the-ultimate-gaming-processor-brings.html</x:v>
      </x:c>
      <x:c r="F9" s="125" t="n">
        <x:v>46218</x:v>
      </x:c>
      <x:c r="G9" s="121" t="str">
        <x:v>specs.socket
specs.cores
specs.threads
specs.architecture
specs.release_date
specs.launch_period
specs.generation</x:v>
      </x:c>
      <x:c r="H9" s="121" t="str">
        <x:v>Codex</x:v>
      </x:c>
      <x:c r="I9" s="121" t="str">
        <x:v>発売日は公式の一般販売開始日を優先。日付を特定できない場合はlaunch_periodと精度のみ登録。</x:v>
      </x:c>
    </x:row>
    <x:row r="10" ht="58" customHeight="1">
      <x:c r="A10" t="str">
        <x:v>amd-ryzen-5-5600-passmark</x:v>
      </x:c>
      <x:c r="B10" t="str">
        <x:v>amd-ryzen-5-5600</x:v>
      </x:c>
      <x:c r="C10" t="str">
        <x:v>technical_database</x:v>
      </x:c>
      <x:c r="D10" s="121" t="str">
        <x:v>AMD Ryzen 5 5600 PassMark benchmark</x:v>
      </x:c>
      <x:c r="E10" s="121" t="str">
        <x:v>https://www.cpubenchmark.net/cpu_lookup.php?cpu=AMD+Ryzen+5+5600&amp;id=4811</x:v>
      </x:c>
      <x:c r="F10" s="125" t="n">
        <x:v>46218</x:v>
      </x:c>
      <x:c r="G10" s="121" t="str">
        <x:v>specs.passmark_cpu_mark
specs.passmark_single_thread_mark
specs.passmark_checked_at
specs.tdp_w</x:v>
      </x:c>
      <x:c r="H10" s="121" t="str">
        <x:v>Codex</x:v>
      </x:c>
      <x:c r="I10" s="121" t="str">
        <x:v>CPU Mega List（最終更新2026-07-11）から取得。スコアは投稿サンプルの更新で変動します。</x:v>
      </x:c>
    </x:row>
    <x:row r="11" ht="58" customHeight="1">
      <x:c r="A11" t="str">
        <x:v>amd-ryzen-5-5600g-official</x:v>
      </x:c>
      <x:c r="B11" t="str">
        <x:v>amd-ryzen-5-5600g</x:v>
      </x:c>
      <x:c r="C11" t="str">
        <x:v>manufacturer</x:v>
      </x:c>
      <x:c r="D11" s="121" t="str">
        <x:v>AMD Ryzen 5 5600G 公式仕様・発売情報</x:v>
      </x:c>
      <x:c r="E11" s="121" t="str">
        <x:v>https://www.amd.com/en/newsroom/press-releases/2021-6-1-amd-unveils-amd-ryzen-5000-g-series-desktop-proces.html</x:v>
      </x:c>
      <x:c r="F11" s="125" t="n">
        <x:v>46218</x:v>
      </x:c>
      <x:c r="G11" s="121" t="str">
        <x:v>specs.socket
specs.cores
specs.threads
specs.architecture
specs.release_date
specs.launch_period
specs.generation</x:v>
      </x:c>
      <x:c r="H11" s="121" t="str">
        <x:v>Codex</x:v>
      </x:c>
      <x:c r="I11" s="121" t="str">
        <x:v>発売日は公式の一般販売開始日を優先。日付を特定できない場合はlaunch_periodと精度のみ登録。</x:v>
      </x:c>
    </x:row>
    <x:row r="12" ht="58" customHeight="1">
      <x:c r="A12" t="str">
        <x:v>amd-ryzen-5-5600g-passmark</x:v>
      </x:c>
      <x:c r="B12" t="str">
        <x:v>amd-ryzen-5-5600g</x:v>
      </x:c>
      <x:c r="C12" t="str">
        <x:v>technical_database</x:v>
      </x:c>
      <x:c r="D12" s="121" t="str">
        <x:v>AMD Ryzen 5 5600G PassMark benchmark</x:v>
      </x:c>
      <x:c r="E12" s="121" t="str">
        <x:v>https://www.cpubenchmark.net/cpu_lookup.php?cpu=AMD+Ryzen+5+5600G&amp;id=4325</x:v>
      </x:c>
      <x:c r="F12" s="125" t="n">
        <x:v>46218</x:v>
      </x:c>
      <x:c r="G12" s="121" t="str">
        <x:v>specs.passmark_cpu_mark
specs.passmark_single_thread_mark
specs.passmark_checked_at
specs.tdp_w</x:v>
      </x:c>
      <x:c r="H12" s="121" t="str">
        <x:v>Codex</x:v>
      </x:c>
      <x:c r="I12" s="121" t="str">
        <x:v>CPU Mega List（最終更新2026-07-11）から取得。スコアは投稿サンプルの更新で変動します。</x:v>
      </x:c>
    </x:row>
    <x:row r="13" ht="58" customHeight="1">
      <x:c r="A13" t="str">
        <x:v>amd-ryzen-5-5600gt-official</x:v>
      </x:c>
      <x:c r="B13" t="str">
        <x:v>amd-ryzen-5-5600gt</x:v>
      </x:c>
      <x:c r="C13" t="str">
        <x:v>manufacturer</x:v>
      </x:c>
      <x:c r="D13" s="121" t="str">
        <x:v>AMD Ryzen 5 5600GT 公式仕様・発売情報</x:v>
      </x:c>
      <x:c r="E13" s="121" t="str">
        <x:v>https://www.amd.com/en/newsroom/press-releases/2024-1-8-amd-reveals-next-gen-desktop-processors-for-extrem.html</x:v>
      </x:c>
      <x:c r="F13" s="125" t="n">
        <x:v>46218</x:v>
      </x:c>
      <x:c r="G13" s="121" t="str">
        <x:v>specs.socket
specs.cores
specs.threads
specs.architecture
specs.release_date
specs.launch_period
specs.generation</x:v>
      </x:c>
      <x:c r="H13" s="121" t="str">
        <x:v>Codex</x:v>
      </x:c>
      <x:c r="I13" s="121" t="str">
        <x:v>発売日は公式の一般販売開始日を優先。日付を特定できない場合はlaunch_periodと精度のみ登録。</x:v>
      </x:c>
    </x:row>
    <x:row r="14" ht="58" customHeight="1">
      <x:c r="A14" t="str">
        <x:v>amd-ryzen-5-5600gt-passmark</x:v>
      </x:c>
      <x:c r="B14" t="str">
        <x:v>amd-ryzen-5-5600gt</x:v>
      </x:c>
      <x:c r="C14" t="str">
        <x:v>technical_database</x:v>
      </x:c>
      <x:c r="D14" s="121" t="str">
        <x:v>AMD Ryzen 5 5600GT PassMark benchmark</x:v>
      </x:c>
      <x:c r="E14" s="121" t="str">
        <x:v>https://www.cpubenchmark.net/cpu_lookup.php?cpu=AMD+Ryzen+5+5600GT&amp;id=5885</x:v>
      </x:c>
      <x:c r="F14" s="125" t="n">
        <x:v>46218</x:v>
      </x:c>
      <x:c r="G14" s="121" t="str">
        <x:v>specs.passmark_cpu_mark
specs.passmark_single_thread_mark
specs.passmark_checked_at
specs.tdp_w</x:v>
      </x:c>
      <x:c r="H14" s="121" t="str">
        <x:v>Codex</x:v>
      </x:c>
      <x:c r="I14" s="121" t="str">
        <x:v>CPU Mega List（最終更新2026-07-11）から取得。スコアは投稿サンプルの更新で変動します。</x:v>
      </x:c>
    </x:row>
    <x:row r="15" ht="58" customHeight="1">
      <x:c r="A15" t="str">
        <x:v>amd-ryzen-5-5600x-official</x:v>
      </x:c>
      <x:c r="B15" t="str">
        <x:v>amd-ryzen-5-5600x</x:v>
      </x:c>
      <x:c r="C15" t="str">
        <x:v>manufacturer</x:v>
      </x:c>
      <x:c r="D15" s="121" t="str">
        <x:v>AMD Ryzen 5 5600X 公式仕様・発売情報</x:v>
      </x:c>
      <x:c r="E15" s="121" t="str">
        <x:v>https://www.amd.com/en/newsroom/press-releases/2020-10-8-amd-launches-amd-ryzen-5000-series-desktop-process.html</x:v>
      </x:c>
      <x:c r="F15" s="125" t="n">
        <x:v>46218</x:v>
      </x:c>
      <x:c r="G15" s="121" t="str">
        <x:v>specs.socket
specs.cores
specs.threads
specs.architecture
specs.release_date
specs.launch_period
specs.generation</x:v>
      </x:c>
      <x:c r="H15" s="121" t="str">
        <x:v>Codex</x:v>
      </x:c>
      <x:c r="I15" s="121" t="str">
        <x:v>発売日は公式の一般販売開始日を優先。日付を特定できない場合はlaunch_periodと精度のみ登録。</x:v>
      </x:c>
    </x:row>
    <x:row r="16" ht="58" customHeight="1">
      <x:c r="A16" t="str">
        <x:v>amd-ryzen-5-5600x-passmark</x:v>
      </x:c>
      <x:c r="B16" t="str">
        <x:v>amd-ryzen-5-5600x</x:v>
      </x:c>
      <x:c r="C16" t="str">
        <x:v>technical_database</x:v>
      </x:c>
      <x:c r="D16" s="121" t="str">
        <x:v>AMD Ryzen 5 5600X PassMark benchmark</x:v>
      </x:c>
      <x:c r="E16" s="121" t="str">
        <x:v>https://www.cpubenchmark.net/cpu_lookup.php?cpu=AMD+Ryzen+5+5600X&amp;id=3859</x:v>
      </x:c>
      <x:c r="F16" s="125" t="n">
        <x:v>46218</x:v>
      </x:c>
      <x:c r="G16" s="121" t="str">
        <x:v>specs.passmark_cpu_mark
specs.passmark_single_thread_mark
specs.passmark_checked_at
specs.tdp_w</x:v>
      </x:c>
      <x:c r="H16" s="121" t="str">
        <x:v>Codex</x:v>
      </x:c>
      <x:c r="I16" s="121" t="str">
        <x:v>CPU Mega List（最終更新2026-07-11）から取得。スコアは投稿サンプルの更新で変動します。</x:v>
      </x:c>
    </x:row>
    <x:row r="17" ht="58" customHeight="1">
      <x:c r="A17" t="str">
        <x:v>amd-ryzen-5-7500f-official</x:v>
      </x:c>
      <x:c r="B17" t="str">
        <x:v>amd-ryzen-5-7500f</x:v>
      </x:c>
      <x:c r="C17" t="str">
        <x:v>manufacturer</x:v>
      </x:c>
      <x:c r="D17" s="121" t="str">
        <x:v>AMD Ryzen 5 7500F 公式仕様・発売情報</x:v>
      </x:c>
      <x:c r="E17" s="121" t="str">
        <x:v>https://www.amd.com/en/products/processors/desktops/ryzen.html</x:v>
      </x:c>
      <x:c r="F17" s="125" t="n">
        <x:v>46218</x:v>
      </x:c>
      <x:c r="G17" s="121" t="str">
        <x:v>specs.socket
specs.cores
specs.threads
specs.architecture
specs.launch_period
specs.generation</x:v>
      </x:c>
      <x:c r="H17" s="121" t="str">
        <x:v>Codex</x:v>
      </x:c>
      <x:c r="I17" s="121" t="str">
        <x:v>発売日は公式の一般販売開始日を優先。日付を特定できない場合はlaunch_periodと精度のみ登録。</x:v>
      </x:c>
    </x:row>
    <x:row r="18" ht="58" customHeight="1">
      <x:c r="A18" t="str">
        <x:v>amd-ryzen-5-7500f-passmark</x:v>
      </x:c>
      <x:c r="B18" t="str">
        <x:v>amd-ryzen-5-7500f</x:v>
      </x:c>
      <x:c r="C18" t="str">
        <x:v>technical_database</x:v>
      </x:c>
      <x:c r="D18" s="121" t="str">
        <x:v>AMD Ryzen 5 7500F PassMark benchmark</x:v>
      </x:c>
      <x:c r="E18" s="121" t="str">
        <x:v>https://www.cpubenchmark.net/cpu_lookup.php?cpu=AMD+Ryzen+5+7500F&amp;id=5648</x:v>
      </x:c>
      <x:c r="F18" s="125" t="n">
        <x:v>46218</x:v>
      </x:c>
      <x:c r="G18" s="121" t="str">
        <x:v>specs.passmark_cpu_mark
specs.passmark_single_thread_mark
specs.passmark_checked_at
specs.tdp_w</x:v>
      </x:c>
      <x:c r="H18" s="121" t="str">
        <x:v>Codex</x:v>
      </x:c>
      <x:c r="I18" s="121" t="str">
        <x:v>CPU Mega List（最終更新2026-07-11）から取得。スコアは投稿サンプルの更新で変動します。</x:v>
      </x:c>
    </x:row>
    <x:row r="19" ht="58" customHeight="1">
      <x:c r="A19" t="str">
        <x:v>amd-ryzen-5-7600-official</x:v>
      </x:c>
      <x:c r="B19" t="str">
        <x:v>amd-ryzen-5-7600</x:v>
      </x:c>
      <x:c r="C19" t="str">
        <x:v>manufacturer</x:v>
      </x:c>
      <x:c r="D19" s="121" t="str">
        <x:v>AMD Ryzen 5 7600 公式仕様・発売情報</x:v>
      </x:c>
      <x:c r="E19" s="121" t="str">
        <x:v>https://www.amd.com/en/newsroom/press-releases/2023-1-4-amd-extends-its-leadership-with-the-introduction-o.html</x:v>
      </x:c>
      <x:c r="F19" s="125" t="n">
        <x:v>46218</x:v>
      </x:c>
      <x:c r="G19" s="121" t="str">
        <x:v>specs.socket
specs.cores
specs.threads
specs.architecture
specs.release_date
specs.launch_period
specs.generation</x:v>
      </x:c>
      <x:c r="H19" s="121" t="str">
        <x:v>Codex</x:v>
      </x:c>
      <x:c r="I19" s="121" t="str">
        <x:v>発売日は公式の一般販売開始日を優先。日付を特定できない場合はlaunch_periodと精度のみ登録。</x:v>
      </x:c>
    </x:row>
    <x:row r="20" ht="58" customHeight="1">
      <x:c r="A20" t="str">
        <x:v>amd-ryzen-5-7600-passmark</x:v>
      </x:c>
      <x:c r="B20" t="str">
        <x:v>amd-ryzen-5-7600</x:v>
      </x:c>
      <x:c r="C20" t="str">
        <x:v>technical_database</x:v>
      </x:c>
      <x:c r="D20" s="121" t="str">
        <x:v>AMD Ryzen 5 7600 PassMark benchmark</x:v>
      </x:c>
      <x:c r="E20" s="121" t="str">
        <x:v>https://www.cpubenchmark.net/cpu_lookup.php?cpu=AMD+Ryzen+5+7600&amp;id=5172</x:v>
      </x:c>
      <x:c r="F20" s="125" t="n">
        <x:v>46218</x:v>
      </x:c>
      <x:c r="G20" s="121" t="str">
        <x:v>specs.passmark_cpu_mark
specs.passmark_single_thread_mark
specs.passmark_checked_at
specs.tdp_w</x:v>
      </x:c>
      <x:c r="H20" s="121" t="str">
        <x:v>Codex</x:v>
      </x:c>
      <x:c r="I20" s="121" t="str">
        <x:v>CPU Mega List（最終更新2026-07-11）から取得。スコアは投稿サンプルの更新で変動します。</x:v>
      </x:c>
    </x:row>
    <x:row r="21" ht="58" customHeight="1">
      <x:c r="A21" t="str">
        <x:v>amd-ryzen-5-7600x-official</x:v>
      </x:c>
      <x:c r="B21" t="str">
        <x:v>amd-ryzen-5-7600x</x:v>
      </x:c>
      <x:c r="C21" t="str">
        <x:v>manufacturer</x:v>
      </x:c>
      <x:c r="D21" s="121" t="str">
        <x:v>AMD Ryzen 5 7600X 公式仕様・発売情報</x:v>
      </x:c>
      <x:c r="E21" s="121" t="str">
        <x:v>https://www.amd.com/en/newsroom/press-releases/2022-8-29-amd-launches-ryzen-7000-series-desktop-processors-.html</x:v>
      </x:c>
      <x:c r="F21" s="125" t="n">
        <x:v>46218</x:v>
      </x:c>
      <x:c r="G21" s="121" t="str">
        <x:v>specs.socket
specs.cores
specs.threads
specs.architecture
specs.release_date
specs.launch_period
specs.generation</x:v>
      </x:c>
      <x:c r="H21" s="121" t="str">
        <x:v>Codex</x:v>
      </x:c>
      <x:c r="I21" s="121" t="str">
        <x:v>発売日は公式の一般販売開始日を優先。日付を特定できない場合はlaunch_periodと精度のみ登録。</x:v>
      </x:c>
    </x:row>
    <x:row r="22" ht="58" customHeight="1">
      <x:c r="A22" t="str">
        <x:v>amd-ryzen-5-7600x-passmark</x:v>
      </x:c>
      <x:c r="B22" t="str">
        <x:v>amd-ryzen-5-7600x</x:v>
      </x:c>
      <x:c r="C22" t="str">
        <x:v>technical_database</x:v>
      </x:c>
      <x:c r="D22" s="121" t="str">
        <x:v>AMD Ryzen 5 7600X PassMark benchmark</x:v>
      </x:c>
      <x:c r="E22" s="121" t="str">
        <x:v>https://www.cpubenchmark.net/cpu_lookup.php?cpu=AMD+Ryzen+5+7600X&amp;id=5033</x:v>
      </x:c>
      <x:c r="F22" s="125" t="n">
        <x:v>46218</x:v>
      </x:c>
      <x:c r="G22" s="121" t="str">
        <x:v>specs.passmark_cpu_mark
specs.passmark_single_thread_mark
specs.passmark_checked_at
specs.tdp_w</x:v>
      </x:c>
      <x:c r="H22" s="121" t="str">
        <x:v>Codex</x:v>
      </x:c>
      <x:c r="I22" s="121" t="str">
        <x:v>CPU Mega List（最終更新2026-07-11）から取得。スコアは投稿サンプルの更新で変動します。</x:v>
      </x:c>
    </x:row>
    <x:row r="23" ht="58" customHeight="1">
      <x:c r="A23" t="str">
        <x:v>amd-ryzen-5-8400f-official</x:v>
      </x:c>
      <x:c r="B23" t="str">
        <x:v>amd-ryzen-5-8400f</x:v>
      </x:c>
      <x:c r="C23" t="str">
        <x:v>manufacturer</x:v>
      </x:c>
      <x:c r="D23" s="121" t="str">
        <x:v>AMD Ryzen 5 8400F 公式仕様・発売情報</x:v>
      </x:c>
      <x:c r="E23" s="121" t="str">
        <x:v>https://www.amd.com/en/products/processors/desktops/ryzen.html</x:v>
      </x:c>
      <x:c r="F23" s="125" t="n">
        <x:v>46218</x:v>
      </x:c>
      <x:c r="G23" s="121" t="str">
        <x:v>specs.socket
specs.cores
specs.threads
specs.architecture
specs.launch_period
specs.generation</x:v>
      </x:c>
      <x:c r="H23" s="121" t="str">
        <x:v>Codex</x:v>
      </x:c>
      <x:c r="I23" s="121" t="str">
        <x:v>発売日は公式の一般販売開始日を優先。日付を特定できない場合はlaunch_periodと精度のみ登録。</x:v>
      </x:c>
    </x:row>
    <x:row r="24" ht="58" customHeight="1">
      <x:c r="A24" t="str">
        <x:v>amd-ryzen-5-8400f-passmark</x:v>
      </x:c>
      <x:c r="B24" t="str">
        <x:v>amd-ryzen-5-8400f</x:v>
      </x:c>
      <x:c r="C24" t="str">
        <x:v>technical_database</x:v>
      </x:c>
      <x:c r="D24" s="121" t="str">
        <x:v>AMD Ryzen 5 8400F PassMark benchmark</x:v>
      </x:c>
      <x:c r="E24" s="121" t="str">
        <x:v>https://www.cpubenchmark.net/cpu_lookup.php?cpu=AMD+Ryzen+5+8400F&amp;id=6056</x:v>
      </x:c>
      <x:c r="F24" s="125" t="n">
        <x:v>46218</x:v>
      </x:c>
      <x:c r="G24" s="121" t="str">
        <x:v>specs.passmark_cpu_mark
specs.passmark_single_thread_mark
specs.passmark_checked_at
specs.tdp_w</x:v>
      </x:c>
      <x:c r="H24" s="121" t="str">
        <x:v>Codex</x:v>
      </x:c>
      <x:c r="I24" s="121" t="str">
        <x:v>CPU Mega List（最終更新2026-07-11）から取得。スコアは投稿サンプルの更新で変動します。</x:v>
      </x:c>
    </x:row>
    <x:row r="25" ht="58" customHeight="1">
      <x:c r="A25" t="str">
        <x:v>amd-ryzen-5-8500g-official</x:v>
      </x:c>
      <x:c r="B25" t="str">
        <x:v>amd-ryzen-5-8500g</x:v>
      </x:c>
      <x:c r="C25" t="str">
        <x:v>manufacturer</x:v>
      </x:c>
      <x:c r="D25" s="121" t="str">
        <x:v>AMD Ryzen 5 8500G 公式仕様・発売情報</x:v>
      </x:c>
      <x:c r="E25" s="121" t="str">
        <x:v>https://www.amd.com/en/newsroom/press-releases/2024-1-8-amd-reveals-next-gen-desktop-processors-for-extrem.html</x:v>
      </x:c>
      <x:c r="F25" s="125" t="n">
        <x:v>46218</x:v>
      </x:c>
      <x:c r="G25" s="121" t="str">
        <x:v>specs.socket
specs.cores
specs.threads
specs.architecture
specs.release_date
specs.launch_period
specs.generation</x:v>
      </x:c>
      <x:c r="H25" s="121" t="str">
        <x:v>Codex</x:v>
      </x:c>
      <x:c r="I25" s="121" t="str">
        <x:v>発売日は公式の一般販売開始日を優先。日付を特定できない場合はlaunch_periodと精度のみ登録。</x:v>
      </x:c>
    </x:row>
    <x:row r="26" ht="58" customHeight="1">
      <x:c r="A26" t="str">
        <x:v>amd-ryzen-5-8500g-passmark</x:v>
      </x:c>
      <x:c r="B26" t="str">
        <x:v>amd-ryzen-5-8500g</x:v>
      </x:c>
      <x:c r="C26" t="str">
        <x:v>technical_database</x:v>
      </x:c>
      <x:c r="D26" s="121" t="str">
        <x:v>AMD Ryzen 5 8500G PassMark benchmark</x:v>
      </x:c>
      <x:c r="E26" s="121" t="str">
        <x:v>https://www.cpubenchmark.net/cpu_lookup.php?cpu=AMD+Ryzen+5+8500G&amp;id=5841</x:v>
      </x:c>
      <x:c r="F26" s="125" t="n">
        <x:v>46218</x:v>
      </x:c>
      <x:c r="G26" s="121" t="str">
        <x:v>specs.passmark_cpu_mark
specs.passmark_single_thread_mark
specs.passmark_checked_at
specs.tdp_w</x:v>
      </x:c>
      <x:c r="H26" s="121" t="str">
        <x:v>Codex</x:v>
      </x:c>
      <x:c r="I26" s="121" t="str">
        <x:v>CPU Mega List（最終更新2026-07-11）から取得。スコアは投稿サンプルの更新で変動します。</x:v>
      </x:c>
    </x:row>
    <x:row r="27" ht="58" customHeight="1">
      <x:c r="A27" t="str">
        <x:v>amd-ryzen-5-8600g-official</x:v>
      </x:c>
      <x:c r="B27" t="str">
        <x:v>amd-ryzen-5-8600g</x:v>
      </x:c>
      <x:c r="C27" t="str">
        <x:v>manufacturer</x:v>
      </x:c>
      <x:c r="D27" s="121" t="str">
        <x:v>AMD Ryzen 5 8600G 公式仕様・発売情報</x:v>
      </x:c>
      <x:c r="E27" s="121" t="str">
        <x:v>https://www.amd.com/en/newsroom/press-releases/2024-1-8-amd-reveals-next-gen-desktop-processors-for-extrem.html</x:v>
      </x:c>
      <x:c r="F27" s="125" t="n">
        <x:v>46218</x:v>
      </x:c>
      <x:c r="G27" s="121" t="str">
        <x:v>specs.socket
specs.cores
specs.threads
specs.architecture
specs.release_date
specs.launch_period
specs.generation</x:v>
      </x:c>
      <x:c r="H27" s="121" t="str">
        <x:v>Codex</x:v>
      </x:c>
      <x:c r="I27" s="121" t="str">
        <x:v>発売日は公式の一般販売開始日を優先。日付を特定できない場合はlaunch_periodと精度のみ登録。</x:v>
      </x:c>
    </x:row>
    <x:row r="28" ht="58" customHeight="1">
      <x:c r="A28" t="str">
        <x:v>amd-ryzen-5-8600g-passmark</x:v>
      </x:c>
      <x:c r="B28" t="str">
        <x:v>amd-ryzen-5-8600g</x:v>
      </x:c>
      <x:c r="C28" t="str">
        <x:v>technical_database</x:v>
      </x:c>
      <x:c r="D28" s="121" t="str">
        <x:v>AMD Ryzen 5 8600G PassMark benchmark</x:v>
      </x:c>
      <x:c r="E28" s="121" t="str">
        <x:v>https://www.cpubenchmark.net/cpu_lookup.php?cpu=AMD+Ryzen+5+8600G&amp;id=5842</x:v>
      </x:c>
      <x:c r="F28" s="125" t="n">
        <x:v>46218</x:v>
      </x:c>
      <x:c r="G28" s="121" t="str">
        <x:v>specs.passmark_cpu_mark
specs.passmark_single_thread_mark
specs.passmark_checked_at
specs.tdp_w</x:v>
      </x:c>
      <x:c r="H28" s="121" t="str">
        <x:v>Codex</x:v>
      </x:c>
      <x:c r="I28" s="121" t="str">
        <x:v>CPU Mega List（最終更新2026-07-11）から取得。スコアは投稿サンプルの更新で変動します。</x:v>
      </x:c>
    </x:row>
    <x:row r="29" ht="58" customHeight="1">
      <x:c r="A29" t="str">
        <x:v>amd-ryzen-5-9500f-official</x:v>
      </x:c>
      <x:c r="B29" t="str">
        <x:v>amd-ryzen-5-9500f</x:v>
      </x:c>
      <x:c r="C29" t="str">
        <x:v>manufacturer</x:v>
      </x:c>
      <x:c r="D29" s="121" t="str">
        <x:v>AMD Ryzen 5 9500F 公式仕様・発売情報</x:v>
      </x:c>
      <x:c r="E29" s="121" t="str">
        <x:v>https://www.amd.com/en/products/processors/desktops/ryzen.html</x:v>
      </x:c>
      <x:c r="F29" s="125" t="n">
        <x:v>46218</x:v>
      </x:c>
      <x:c r="G29" s="121" t="str">
        <x:v>specs.socket
specs.cores
specs.threads
specs.architecture
specs.launch_period
specs.generation</x:v>
      </x:c>
      <x:c r="H29" s="121" t="str">
        <x:v>Codex</x:v>
      </x:c>
      <x:c r="I29" s="121" t="str">
        <x:v>発売日は公式の一般販売開始日を優先。日付を特定できない場合はlaunch_periodと精度のみ登録。</x:v>
      </x:c>
    </x:row>
    <x:row r="30" ht="58" customHeight="1">
      <x:c r="A30" t="str">
        <x:v>amd-ryzen-5-9500f-passmark</x:v>
      </x:c>
      <x:c r="B30" t="str">
        <x:v>amd-ryzen-5-9500f</x:v>
      </x:c>
      <x:c r="C30" t="str">
        <x:v>technical_database</x:v>
      </x:c>
      <x:c r="D30" s="121" t="str">
        <x:v>AMD Ryzen 5 9500F PassMark benchmark</x:v>
      </x:c>
      <x:c r="E30" s="121" t="str">
        <x:v>https://www.cpubenchmark.net/cpu_lookup.php?cpu=AMD+Ryzen+5+9500F&amp;id=7079</x:v>
      </x:c>
      <x:c r="F30" s="125" t="n">
        <x:v>46218</x:v>
      </x:c>
      <x:c r="G30" s="121" t="str">
        <x:v>specs.passmark_cpu_mark
specs.passmark_single_thread_mark
specs.passmark_checked_at
specs.tdp_w</x:v>
      </x:c>
      <x:c r="H30" s="121" t="str">
        <x:v>Codex</x:v>
      </x:c>
      <x:c r="I30" s="121" t="str">
        <x:v>CPU Mega List（最終更新2026-07-11）から取得。スコアは投稿サンプルの更新で変動します。</x:v>
      </x:c>
    </x:row>
    <x:row r="31" ht="58" customHeight="1">
      <x:c r="A31" t="str">
        <x:v>amd-ryzen-5-9600-official</x:v>
      </x:c>
      <x:c r="B31" t="str">
        <x:v>amd-ryzen-5-9600</x:v>
      </x:c>
      <x:c r="C31" t="str">
        <x:v>manufacturer</x:v>
      </x:c>
      <x:c r="D31" s="121" t="str">
        <x:v>AMD Ryzen 5 9600 公式仕様・発売情報</x:v>
      </x:c>
      <x:c r="E31" s="121" t="str">
        <x:v>https://www.amd.com/en/products/processors/desktops/ryzen.html</x:v>
      </x:c>
      <x:c r="F31" s="125" t="n">
        <x:v>46218</x:v>
      </x:c>
      <x:c r="G31" s="121" t="str">
        <x:v>specs.socket
specs.cores
specs.threads
specs.architecture
specs.launch_period
specs.generation</x:v>
      </x:c>
      <x:c r="H31" s="121" t="str">
        <x:v>Codex</x:v>
      </x:c>
      <x:c r="I31" s="121" t="str">
        <x:v>発売日は公式の一般販売開始日を優先。日付を特定できない場合はlaunch_periodと精度のみ登録。</x:v>
      </x:c>
    </x:row>
    <x:row r="32" ht="58" customHeight="1">
      <x:c r="A32" t="str">
        <x:v>amd-ryzen-5-9600-passmark</x:v>
      </x:c>
      <x:c r="B32" t="str">
        <x:v>amd-ryzen-5-9600</x:v>
      </x:c>
      <x:c r="C32" t="str">
        <x:v>technical_database</x:v>
      </x:c>
      <x:c r="D32" s="121" t="str">
        <x:v>AMD Ryzen 5 9600 PassMark benchmark</x:v>
      </x:c>
      <x:c r="E32" s="121" t="str">
        <x:v>https://www.cpubenchmark.net/cpu_lookup.php?cpu=AMD+Ryzen+5+9600&amp;id=6590</x:v>
      </x:c>
      <x:c r="F32" s="125" t="n">
        <x:v>46218</x:v>
      </x:c>
      <x:c r="G32" s="121" t="str">
        <x:v>specs.passmark_cpu_mark
specs.passmark_single_thread_mark
specs.passmark_checked_at
specs.tdp_w</x:v>
      </x:c>
      <x:c r="H32" s="121" t="str">
        <x:v>Codex</x:v>
      </x:c>
      <x:c r="I32" s="121" t="str">
        <x:v>CPU Mega List（最終更新2026-07-11）から取得。スコアは投稿サンプルの更新で変動します。</x:v>
      </x:c>
    </x:row>
    <x:row r="33" ht="58" customHeight="1">
      <x:c r="A33" t="str">
        <x:v>amd-ryzen-5-9600x-official</x:v>
      </x:c>
      <x:c r="B33" t="str">
        <x:v>amd-ryzen-5-9600x</x:v>
      </x:c>
      <x:c r="C33" t="str">
        <x:v>manufacturer</x:v>
      </x:c>
      <x:c r="D33" s="121" t="str">
        <x:v>AMD Ryzen 5 9600X 公式仕様・発売情報</x:v>
      </x:c>
      <x:c r="E33" s="121" t="str">
        <x:v>https://www.amd.com/en/products/processors/desktops/ryzen.html</x:v>
      </x:c>
      <x:c r="F33" s="125" t="n">
        <x:v>46218</x:v>
      </x:c>
      <x:c r="G33" s="121" t="str">
        <x:v>specs.socket
specs.cores
specs.threads
specs.architecture
specs.release_date
specs.launch_period
specs.generation</x:v>
      </x:c>
      <x:c r="H33" s="121" t="str">
        <x:v>Codex</x:v>
      </x:c>
      <x:c r="I33" s="121" t="str">
        <x:v>発売日は公式の一般販売開始日を優先。日付を特定できない場合はlaunch_periodと精度のみ登録。</x:v>
      </x:c>
    </x:row>
    <x:row r="34" ht="58" customHeight="1">
      <x:c r="A34" t="str">
        <x:v>amd-ryzen-5-9600x-passmark</x:v>
      </x:c>
      <x:c r="B34" t="str">
        <x:v>amd-ryzen-5-9600x</x:v>
      </x:c>
      <x:c r="C34" t="str">
        <x:v>technical_database</x:v>
      </x:c>
      <x:c r="D34" s="121" t="str">
        <x:v>AMD Ryzen 5 9600X PassMark benchmark</x:v>
      </x:c>
      <x:c r="E34" s="121" t="str">
        <x:v>https://www.cpubenchmark.net/cpu_lookup.php?cpu=AMD+Ryzen+5+9600X&amp;id=6199</x:v>
      </x:c>
      <x:c r="F34" s="125" t="n">
        <x:v>46218</x:v>
      </x:c>
      <x:c r="G34" s="121" t="str">
        <x:v>specs.passmark_cpu_mark
specs.passmark_single_thread_mark
specs.passmark_checked_at
specs.tdp_w</x:v>
      </x:c>
      <x:c r="H34" s="121" t="str">
        <x:v>Codex</x:v>
      </x:c>
      <x:c r="I34" s="121" t="str">
        <x:v>CPU Mega List（最終更新2026-07-11）から取得。スコアは投稿サンプルの更新で変動します。</x:v>
      </x:c>
    </x:row>
    <x:row r="35" ht="58" customHeight="1">
      <x:c r="A35" t="str">
        <x:v>amd-ryzen-7-5700-official</x:v>
      </x:c>
      <x:c r="B35" t="str">
        <x:v>amd-ryzen-7-5700</x:v>
      </x:c>
      <x:c r="C35" t="str">
        <x:v>manufacturer</x:v>
      </x:c>
      <x:c r="D35" s="121" t="str">
        <x:v>AMD Ryzen 7 5700 公式仕様・発売情報</x:v>
      </x:c>
      <x:c r="E35" s="121" t="str">
        <x:v>https://www.amd.com/en/newsroom/press-releases/2024-1-8-amd-reveals-next-gen-desktop-processors-for-extrem.html</x:v>
      </x:c>
      <x:c r="F35" s="125" t="n">
        <x:v>46218</x:v>
      </x:c>
      <x:c r="G35" s="121" t="str">
        <x:v>specs.socket
specs.cores
specs.threads
specs.architecture
specs.release_date
specs.launch_period
specs.generation</x:v>
      </x:c>
      <x:c r="H35" s="121" t="str">
        <x:v>Codex</x:v>
      </x:c>
      <x:c r="I35" s="121" t="str">
        <x:v>発売日は公式の一般販売開始日を優先。日付を特定できない場合はlaunch_periodと精度のみ登録。</x:v>
      </x:c>
    </x:row>
    <x:row r="36" ht="58" customHeight="1">
      <x:c r="A36" t="str">
        <x:v>amd-ryzen-7-5700-passmark</x:v>
      </x:c>
      <x:c r="B36" t="str">
        <x:v>amd-ryzen-7-5700</x:v>
      </x:c>
      <x:c r="C36" t="str">
        <x:v>technical_database</x:v>
      </x:c>
      <x:c r="D36" s="121" t="str">
        <x:v>AMD Ryzen 7 5700 PassMark benchmark</x:v>
      </x:c>
      <x:c r="E36" s="121" t="str">
        <x:v>https://www.cpubenchmark.net/cpu_lookup.php?cpu=AMD+Ryzen+7+5700&amp;id=4968</x:v>
      </x:c>
      <x:c r="F36" s="125" t="n">
        <x:v>46218</x:v>
      </x:c>
      <x:c r="G36" s="121" t="str">
        <x:v>specs.passmark_cpu_mark
specs.passmark_single_thread_mark
specs.passmark_checked_at
specs.tdp_w</x:v>
      </x:c>
      <x:c r="H36" s="121" t="str">
        <x:v>Codex</x:v>
      </x:c>
      <x:c r="I36" s="121" t="str">
        <x:v>CPU Mega List（最終更新2026-07-11）から取得。スコアは投稿サンプルの更新で変動します。</x:v>
      </x:c>
    </x:row>
    <x:row r="37" ht="58" customHeight="1">
      <x:c r="A37" t="str">
        <x:v>amd-ryzen-7-5700g-official</x:v>
      </x:c>
      <x:c r="B37" t="str">
        <x:v>amd-ryzen-7-5700g</x:v>
      </x:c>
      <x:c r="C37" t="str">
        <x:v>manufacturer</x:v>
      </x:c>
      <x:c r="D37" s="121" t="str">
        <x:v>AMD Ryzen 7 5700G 公式仕様・発売情報</x:v>
      </x:c>
      <x:c r="E37" s="121" t="str">
        <x:v>https://www.amd.com/en/newsroom/press-releases/2021-6-1-amd-unveils-amd-ryzen-5000-g-series-desktop-proces.html</x:v>
      </x:c>
      <x:c r="F37" s="125" t="n">
        <x:v>46218</x:v>
      </x:c>
      <x:c r="G37" s="121" t="str">
        <x:v>specs.socket
specs.cores
specs.threads
specs.architecture
specs.release_date
specs.launch_period
specs.generation</x:v>
      </x:c>
      <x:c r="H37" s="121" t="str">
        <x:v>Codex</x:v>
      </x:c>
      <x:c r="I37" s="121" t="str">
        <x:v>発売日は公式の一般販売開始日を優先。日付を特定できない場合はlaunch_periodと精度のみ登録。</x:v>
      </x:c>
    </x:row>
    <x:row r="38" ht="58" customHeight="1">
      <x:c r="A38" t="str">
        <x:v>amd-ryzen-7-5700g-passmark</x:v>
      </x:c>
      <x:c r="B38" t="str">
        <x:v>amd-ryzen-7-5700g</x:v>
      </x:c>
      <x:c r="C38" t="str">
        <x:v>technical_database</x:v>
      </x:c>
      <x:c r="D38" s="121" t="str">
        <x:v>AMD Ryzen 7 5700G PassMark benchmark</x:v>
      </x:c>
      <x:c r="E38" s="121" t="str">
        <x:v>https://www.cpubenchmark.net/cpu_lookup.php?cpu=AMD+Ryzen+7+5700G&amp;id=4323</x:v>
      </x:c>
      <x:c r="F38" s="125" t="n">
        <x:v>46218</x:v>
      </x:c>
      <x:c r="G38" s="121" t="str">
        <x:v>specs.passmark_cpu_mark
specs.passmark_single_thread_mark
specs.passmark_checked_at
specs.tdp_w</x:v>
      </x:c>
      <x:c r="H38" s="121" t="str">
        <x:v>Codex</x:v>
      </x:c>
      <x:c r="I38" s="121" t="str">
        <x:v>CPU Mega List（最終更新2026-07-11）から取得。スコアは投稿サンプルの更新で変動します。</x:v>
      </x:c>
    </x:row>
    <x:row r="39" ht="58" customHeight="1">
      <x:c r="A39" t="str">
        <x:v>amd-ryzen-7-5700x-official</x:v>
      </x:c>
      <x:c r="B39" t="str">
        <x:v>amd-ryzen-7-5700x</x:v>
      </x:c>
      <x:c r="C39" t="str">
        <x:v>manufacturer</x:v>
      </x:c>
      <x:c r="D39" s="121" t="str">
        <x:v>AMD Ryzen 7 5700X 公式仕様・発売情報</x:v>
      </x:c>
      <x:c r="E39" s="121" t="str">
        <x:v>https://www.amd.com/en/newsroom/press-releases/2022-3-15-amd-launches-the-ultimate-gaming-processor-brings.html</x:v>
      </x:c>
      <x:c r="F39" s="125" t="n">
        <x:v>46218</x:v>
      </x:c>
      <x:c r="G39" s="121" t="str">
        <x:v>specs.socket
specs.cores
specs.threads
specs.architecture
specs.release_date
specs.launch_period
specs.generation</x:v>
      </x:c>
      <x:c r="H39" s="121" t="str">
        <x:v>Codex</x:v>
      </x:c>
      <x:c r="I39" s="121" t="str">
        <x:v>発売日は公式の一般販売開始日を優先。日付を特定できない場合はlaunch_periodと精度のみ登録。</x:v>
      </x:c>
    </x:row>
    <x:row r="40" ht="58" customHeight="1">
      <x:c r="A40" t="str">
        <x:v>amd-ryzen-7-5700x-passmark</x:v>
      </x:c>
      <x:c r="B40" t="str">
        <x:v>amd-ryzen-7-5700x</x:v>
      </x:c>
      <x:c r="C40" t="str">
        <x:v>technical_database</x:v>
      </x:c>
      <x:c r="D40" s="121" t="str">
        <x:v>AMD Ryzen 7 5700X PassMark benchmark</x:v>
      </x:c>
      <x:c r="E40" s="121" t="str">
        <x:v>https://www.cpubenchmark.net/cpu_lookup.php?cpu=AMD+Ryzen+7+5700X&amp;id=4814</x:v>
      </x:c>
      <x:c r="F40" s="125" t="n">
        <x:v>46218</x:v>
      </x:c>
      <x:c r="G40" s="121" t="str">
        <x:v>specs.passmark_cpu_mark
specs.passmark_single_thread_mark
specs.passmark_checked_at
specs.tdp_w</x:v>
      </x:c>
      <x:c r="H40" s="121" t="str">
        <x:v>Codex</x:v>
      </x:c>
      <x:c r="I40" s="121" t="str">
        <x:v>CPU Mega List（最終更新2026-07-11）から取得。スコアは投稿サンプルの更新で変動します。</x:v>
      </x:c>
    </x:row>
    <x:row r="41" ht="58" customHeight="1">
      <x:c r="A41" t="str">
        <x:v>amd-ryzen-7-5700x3d-official</x:v>
      </x:c>
      <x:c r="B41" t="str">
        <x:v>amd-ryzen-7-5700x3d</x:v>
      </x:c>
      <x:c r="C41" t="str">
        <x:v>manufacturer</x:v>
      </x:c>
      <x:c r="D41" s="121" t="str">
        <x:v>AMD Ryzen 7 5700X3D 公式仕様・発売情報</x:v>
      </x:c>
      <x:c r="E41" s="121" t="str">
        <x:v>https://www.amd.com/en/newsroom/press-releases/2024-1-8-amd-reveals-next-gen-desktop-processors-for-extrem.html</x:v>
      </x:c>
      <x:c r="F41" s="125" t="n">
        <x:v>46218</x:v>
      </x:c>
      <x:c r="G41" s="121" t="str">
        <x:v>specs.socket
specs.cores
specs.threads
specs.architecture
specs.release_date
specs.launch_period
specs.generation</x:v>
      </x:c>
      <x:c r="H41" s="121" t="str">
        <x:v>Codex</x:v>
      </x:c>
      <x:c r="I41" s="121" t="str">
        <x:v>発売日は公式の一般販売開始日を優先。日付を特定できない場合はlaunch_periodと精度のみ登録。</x:v>
      </x:c>
    </x:row>
    <x:row r="42" ht="58" customHeight="1">
      <x:c r="A42" t="str">
        <x:v>amd-ryzen-7-5700x3d-passmark</x:v>
      </x:c>
      <x:c r="B42" t="str">
        <x:v>amd-ryzen-7-5700x3d</x:v>
      </x:c>
      <x:c r="C42" t="str">
        <x:v>technical_database</x:v>
      </x:c>
      <x:c r="D42" s="121" t="str">
        <x:v>AMD Ryzen 7 5700X3D PassMark benchmark</x:v>
      </x:c>
      <x:c r="E42" s="121" t="str">
        <x:v>https://www.cpubenchmark.net/cpu_lookup.php?cpu=AMD+Ryzen+7+5700X3D&amp;id=5884</x:v>
      </x:c>
      <x:c r="F42" s="125" t="n">
        <x:v>46218</x:v>
      </x:c>
      <x:c r="G42" s="121" t="str">
        <x:v>specs.passmark_cpu_mark
specs.passmark_single_thread_mark
specs.passmark_checked_at
specs.tdp_w</x:v>
      </x:c>
      <x:c r="H42" s="121" t="str">
        <x:v>Codex</x:v>
      </x:c>
      <x:c r="I42" s="121" t="str">
        <x:v>CPU Mega List（最終更新2026-07-11）から取得。スコアは投稿サンプルの更新で変動します。</x:v>
      </x:c>
    </x:row>
    <x:row r="43" ht="58" customHeight="1">
      <x:c r="A43" t="str">
        <x:v>amd-ryzen-7-5800x-official</x:v>
      </x:c>
      <x:c r="B43" t="str">
        <x:v>amd-ryzen-7-5800x</x:v>
      </x:c>
      <x:c r="C43" t="str">
        <x:v>manufacturer</x:v>
      </x:c>
      <x:c r="D43" s="121" t="str">
        <x:v>AMD Ryzen 7 5800X 公式仕様・発売情報</x:v>
      </x:c>
      <x:c r="E43" s="121" t="str">
        <x:v>https://www.amd.com/en/newsroom/press-releases/2020-10-8-amd-launches-amd-ryzen-5000-series-desktop-process.html</x:v>
      </x:c>
      <x:c r="F43" s="125" t="n">
        <x:v>46218</x:v>
      </x:c>
      <x:c r="G43" s="121" t="str">
        <x:v>specs.socket
specs.cores
specs.threads
specs.architecture
specs.release_date
specs.launch_period
specs.generation</x:v>
      </x:c>
      <x:c r="H43" s="121" t="str">
        <x:v>Codex</x:v>
      </x:c>
      <x:c r="I43" s="121" t="str">
        <x:v>発売日は公式の一般販売開始日を優先。日付を特定できない場合はlaunch_periodと精度のみ登録。</x:v>
      </x:c>
    </x:row>
    <x:row r="44" ht="58" customHeight="1">
      <x:c r="A44" t="str">
        <x:v>amd-ryzen-7-5800x-passmark</x:v>
      </x:c>
      <x:c r="B44" t="str">
        <x:v>amd-ryzen-7-5800x</x:v>
      </x:c>
      <x:c r="C44" t="str">
        <x:v>technical_database</x:v>
      </x:c>
      <x:c r="D44" s="121" t="str">
        <x:v>AMD Ryzen 7 5800X PassMark benchmark</x:v>
      </x:c>
      <x:c r="E44" s="121" t="str">
        <x:v>https://www.cpubenchmark.net/cpu_lookup.php?cpu=AMD+Ryzen+7+5800X&amp;id=3869</x:v>
      </x:c>
      <x:c r="F44" s="125" t="n">
        <x:v>46218</x:v>
      </x:c>
      <x:c r="G44" s="121" t="str">
        <x:v>specs.passmark_cpu_mark
specs.passmark_single_thread_mark
specs.passmark_checked_at
specs.tdp_w</x:v>
      </x:c>
      <x:c r="H44" s="121" t="str">
        <x:v>Codex</x:v>
      </x:c>
      <x:c r="I44" s="121" t="str">
        <x:v>CPU Mega List（最終更新2026-07-11）から取得。スコアは投稿サンプルの更新で変動します。</x:v>
      </x:c>
    </x:row>
    <x:row r="45" ht="58" customHeight="1">
      <x:c r="A45" t="str">
        <x:v>amd-ryzen-7-5800x3d-official</x:v>
      </x:c>
      <x:c r="B45" t="str">
        <x:v>amd-ryzen-7-5800x3d</x:v>
      </x:c>
      <x:c r="C45" t="str">
        <x:v>manufacturer</x:v>
      </x:c>
      <x:c r="D45" s="121" t="str">
        <x:v>AMD Ryzen 7 5800X3D 公式仕様・発売情報</x:v>
      </x:c>
      <x:c r="E45" s="121" t="str">
        <x:v>https://www.amd.com/en/newsroom/press-releases/2022-3-15-amd-launches-the-ultimate-gaming-processor-brings.html</x:v>
      </x:c>
      <x:c r="F45" s="125" t="n">
        <x:v>46218</x:v>
      </x:c>
      <x:c r="G45" s="121" t="str">
        <x:v>specs.socket
specs.cores
specs.threads
specs.architecture
specs.release_date
specs.launch_period
specs.generation</x:v>
      </x:c>
      <x:c r="H45" s="121" t="str">
        <x:v>Codex</x:v>
      </x:c>
      <x:c r="I45" s="121" t="str">
        <x:v>発売日は公式の一般販売開始日を優先。日付を特定できない場合はlaunch_periodと精度のみ登録。</x:v>
      </x:c>
    </x:row>
    <x:row r="46" ht="58" customHeight="1">
      <x:c r="A46" t="str">
        <x:v>amd-ryzen-7-5800x3d-passmark</x:v>
      </x:c>
      <x:c r="B46" t="str">
        <x:v>amd-ryzen-7-5800x3d</x:v>
      </x:c>
      <x:c r="C46" t="str">
        <x:v>technical_database</x:v>
      </x:c>
      <x:c r="D46" s="121" t="str">
        <x:v>AMD Ryzen 7 5800X3D PassMark benchmark</x:v>
      </x:c>
      <x:c r="E46" s="121" t="str">
        <x:v>https://www.cpubenchmark.net/cpu_lookup.php?cpu=AMD+Ryzen+7+5800X3D&amp;id=4823</x:v>
      </x:c>
      <x:c r="F46" s="125" t="n">
        <x:v>46218</x:v>
      </x:c>
      <x:c r="G46" s="121" t="str">
        <x:v>specs.passmark_cpu_mark
specs.passmark_single_thread_mark
specs.passmark_checked_at
specs.tdp_w</x:v>
      </x:c>
      <x:c r="H46" s="121" t="str">
        <x:v>Codex</x:v>
      </x:c>
      <x:c r="I46" s="121" t="str">
        <x:v>CPU Mega List（最終更新2026-07-11）から取得。スコアは投稿サンプルの更新で変動します。</x:v>
      </x:c>
    </x:row>
    <x:row r="47" ht="58" customHeight="1">
      <x:c r="A47" t="str">
        <x:v>amd-ryzen-7-5800xt-official</x:v>
      </x:c>
      <x:c r="B47" t="str">
        <x:v>amd-ryzen-7-5800xt</x:v>
      </x:c>
      <x:c r="C47" t="str">
        <x:v>manufacturer</x:v>
      </x:c>
      <x:c r="D47" s="121" t="str">
        <x:v>AMD Ryzen 7 5800XT 公式仕様・発売情報</x:v>
      </x:c>
      <x:c r="E47" s="121" t="str">
        <x:v>https://www.amd.com/en/newsroom/press-releases/2024-6-2-amd-unveils-next-gen-zen-5-ryzen-processors-to-p.html</x:v>
      </x:c>
      <x:c r="F47" s="125" t="n">
        <x:v>46218</x:v>
      </x:c>
      <x:c r="G47" s="121" t="str">
        <x:v>specs.socket
specs.cores
specs.threads
specs.architecture
specs.launch_period
specs.generation</x:v>
      </x:c>
      <x:c r="H47" s="121" t="str">
        <x:v>Codex</x:v>
      </x:c>
      <x:c r="I47" s="121" t="str">
        <x:v>発売日は公式の一般販売開始日を優先。日付を特定できない場合はlaunch_periodと精度のみ登録。</x:v>
      </x:c>
    </x:row>
    <x:row r="48" ht="58" customHeight="1">
      <x:c r="A48" t="str">
        <x:v>amd-ryzen-7-5800xt-passmark</x:v>
      </x:c>
      <x:c r="B48" t="str">
        <x:v>amd-ryzen-7-5800xt</x:v>
      </x:c>
      <x:c r="C48" t="str">
        <x:v>technical_database</x:v>
      </x:c>
      <x:c r="D48" s="121" t="str">
        <x:v>AMD Ryzen 7 5800XT PassMark benchmark</x:v>
      </x:c>
      <x:c r="E48" s="121" t="str">
        <x:v>https://www.cpubenchmark.net/cpu_lookup.php?cpu=AMD+Ryzen+7+5800XT&amp;id=6307</x:v>
      </x:c>
      <x:c r="F48" s="125" t="n">
        <x:v>46218</x:v>
      </x:c>
      <x:c r="G48" s="121" t="str">
        <x:v>specs.passmark_cpu_mark
specs.passmark_single_thread_mark
specs.passmark_checked_at
specs.tdp_w</x:v>
      </x:c>
      <x:c r="H48" s="121" t="str">
        <x:v>Codex</x:v>
      </x:c>
      <x:c r="I48" s="121" t="str">
        <x:v>CPU Mega List（最終更新2026-07-11）から取得。スコアは投稿サンプルの更新で変動します。</x:v>
      </x:c>
    </x:row>
    <x:row r="49" ht="58" customHeight="1">
      <x:c r="A49" t="str">
        <x:v>amd-ryzen-7-7700-official</x:v>
      </x:c>
      <x:c r="B49" t="str">
        <x:v>amd-ryzen-7-7700</x:v>
      </x:c>
      <x:c r="C49" t="str">
        <x:v>manufacturer</x:v>
      </x:c>
      <x:c r="D49" s="121" t="str">
        <x:v>AMD Ryzen 7 7700 公式仕様・発売情報</x:v>
      </x:c>
      <x:c r="E49" s="121" t="str">
        <x:v>https://www.amd.com/en/newsroom/press-releases/2023-1-4-amd-extends-its-leadership-with-the-introduction-o.html</x:v>
      </x:c>
      <x:c r="F49" s="125" t="n">
        <x:v>46218</x:v>
      </x:c>
      <x:c r="G49" s="121" t="str">
        <x:v>specs.socket
specs.cores
specs.threads
specs.architecture
specs.release_date
specs.launch_period
specs.generation</x:v>
      </x:c>
      <x:c r="H49" s="121" t="str">
        <x:v>Codex</x:v>
      </x:c>
      <x:c r="I49" s="121" t="str">
        <x:v>発売日は公式の一般販売開始日を優先。日付を特定できない場合はlaunch_periodと精度のみ登録。</x:v>
      </x:c>
    </x:row>
    <x:row r="50" ht="58" customHeight="1">
      <x:c r="A50" t="str">
        <x:v>amd-ryzen-7-7700-passmark</x:v>
      </x:c>
      <x:c r="B50" t="str">
        <x:v>amd-ryzen-7-7700</x:v>
      </x:c>
      <x:c r="C50" t="str">
        <x:v>technical_database</x:v>
      </x:c>
      <x:c r="D50" s="121" t="str">
        <x:v>AMD Ryzen 7 7700 PassMark benchmark</x:v>
      </x:c>
      <x:c r="E50" s="121" t="str">
        <x:v>https://www.cpubenchmark.net/cpu_lookup.php?cpu=AMD+Ryzen+7+7700&amp;id=5169</x:v>
      </x:c>
      <x:c r="F50" s="125" t="n">
        <x:v>46218</x:v>
      </x:c>
      <x:c r="G50" s="121" t="str">
        <x:v>specs.passmark_cpu_mark
specs.passmark_single_thread_mark
specs.passmark_checked_at
specs.tdp_w</x:v>
      </x:c>
      <x:c r="H50" s="121" t="str">
        <x:v>Codex</x:v>
      </x:c>
      <x:c r="I50" s="121" t="str">
        <x:v>CPU Mega List（最終更新2026-07-11）から取得。スコアは投稿サンプルの更新で変動します。</x:v>
      </x:c>
    </x:row>
    <x:row r="51" ht="58" customHeight="1">
      <x:c r="A51" t="str">
        <x:v>amd-ryzen-7-7700x-official</x:v>
      </x:c>
      <x:c r="B51" t="str">
        <x:v>amd-ryzen-7-7700x</x:v>
      </x:c>
      <x:c r="C51" t="str">
        <x:v>manufacturer</x:v>
      </x:c>
      <x:c r="D51" s="121" t="str">
        <x:v>AMD Ryzen 7 7700X 公式仕様・発売情報</x:v>
      </x:c>
      <x:c r="E51" s="121" t="str">
        <x:v>https://www.amd.com/en/newsroom/press-releases/2022-8-29-amd-launches-ryzen-7000-series-desktop-processors-.html</x:v>
      </x:c>
      <x:c r="F51" s="125" t="n">
        <x:v>46218</x:v>
      </x:c>
      <x:c r="G51" s="121" t="str">
        <x:v>specs.socket
specs.cores
specs.threads
specs.architecture
specs.release_date
specs.launch_period
specs.generation</x:v>
      </x:c>
      <x:c r="H51" s="121" t="str">
        <x:v>Codex</x:v>
      </x:c>
      <x:c r="I51" s="121" t="str">
        <x:v>発売日は公式の一般販売開始日を優先。日付を特定できない場合はlaunch_periodと精度のみ登録。</x:v>
      </x:c>
    </x:row>
    <x:row r="52" ht="58" customHeight="1">
      <x:c r="A52" t="str">
        <x:v>amd-ryzen-7-7700x-passmark</x:v>
      </x:c>
      <x:c r="B52" t="str">
        <x:v>amd-ryzen-7-7700x</x:v>
      </x:c>
      <x:c r="C52" t="str">
        <x:v>technical_database</x:v>
      </x:c>
      <x:c r="D52" s="121" t="str">
        <x:v>AMD Ryzen 7 7700X PassMark benchmark</x:v>
      </x:c>
      <x:c r="E52" s="121" t="str">
        <x:v>https://www.cpubenchmark.net/cpu_lookup.php?cpu=AMD+Ryzen+7+7700X&amp;id=5036</x:v>
      </x:c>
      <x:c r="F52" s="125" t="n">
        <x:v>46218</x:v>
      </x:c>
      <x:c r="G52" s="121" t="str">
        <x:v>specs.passmark_cpu_mark
specs.passmark_single_thread_mark
specs.passmark_checked_at
specs.tdp_w</x:v>
      </x:c>
      <x:c r="H52" s="121" t="str">
        <x:v>Codex</x:v>
      </x:c>
      <x:c r="I52" s="121" t="str">
        <x:v>CPU Mega List（最終更新2026-07-11）から取得。スコアは投稿サンプルの更新で変動します。</x:v>
      </x:c>
    </x:row>
    <x:row r="53" ht="58" customHeight="1">
      <x:c r="A53" t="str">
        <x:v>amd-ryzen-7-7800x3d-official</x:v>
      </x:c>
      <x:c r="B53" t="str">
        <x:v>amd-ryzen-7-7800x3d</x:v>
      </x:c>
      <x:c r="C53" t="str">
        <x:v>manufacturer</x:v>
      </x:c>
      <x:c r="D53" s="121" t="str">
        <x:v>AMD Ryzen 7 7800X3D 公式仕様・発売情報</x:v>
      </x:c>
      <x:c r="E53" s="121" t="str">
        <x:v>https://www.amd.com/en/newsroom/press-releases/2023-1-4-amd-extends-its-leadership-with-the-introduction-o.html</x:v>
      </x:c>
      <x:c r="F53" s="125" t="n">
        <x:v>46218</x:v>
      </x:c>
      <x:c r="G53" s="121" t="str">
        <x:v>specs.socket
specs.cores
specs.threads
specs.architecture
specs.release_date
specs.launch_period
specs.generation</x:v>
      </x:c>
      <x:c r="H53" s="121" t="str">
        <x:v>Codex</x:v>
      </x:c>
      <x:c r="I53" s="121" t="str">
        <x:v>発売日は公式の一般販売開始日を優先。日付を特定できない場合はlaunch_periodと精度のみ登録。</x:v>
      </x:c>
    </x:row>
    <x:row r="54" ht="58" customHeight="1">
      <x:c r="A54" t="str">
        <x:v>amd-ryzen-7-7800x3d-passmark</x:v>
      </x:c>
      <x:c r="B54" t="str">
        <x:v>amd-ryzen-7-7800x3d</x:v>
      </x:c>
      <x:c r="C54" t="str">
        <x:v>technical_database</x:v>
      </x:c>
      <x:c r="D54" s="121" t="str">
        <x:v>AMD Ryzen 7 7800X3D PassMark benchmark</x:v>
      </x:c>
      <x:c r="E54" s="121" t="str">
        <x:v>https://www.cpubenchmark.net/cpu_lookup.php?cpu=AMD+Ryzen+7+7800X3D&amp;id=5299</x:v>
      </x:c>
      <x:c r="F54" s="125" t="n">
        <x:v>46218</x:v>
      </x:c>
      <x:c r="G54" s="121" t="str">
        <x:v>specs.passmark_cpu_mark
specs.passmark_single_thread_mark
specs.passmark_checked_at
specs.tdp_w</x:v>
      </x:c>
      <x:c r="H54" s="121" t="str">
        <x:v>Codex</x:v>
      </x:c>
      <x:c r="I54" s="121" t="str">
        <x:v>CPU Mega List（最終更新2026-07-11）から取得。スコアは投稿サンプルの更新で変動します。</x:v>
      </x:c>
    </x:row>
    <x:row r="55" ht="58" customHeight="1">
      <x:c r="A55" t="str">
        <x:v>amd-ryzen-7-8700f-official</x:v>
      </x:c>
      <x:c r="B55" t="str">
        <x:v>amd-ryzen-7-8700f</x:v>
      </x:c>
      <x:c r="C55" t="str">
        <x:v>manufacturer</x:v>
      </x:c>
      <x:c r="D55" s="121" t="str">
        <x:v>AMD Ryzen 7 8700F 公式仕様・発売情報</x:v>
      </x:c>
      <x:c r="E55" s="121" t="str">
        <x:v>https://www.amd.com/en/products/processors/desktops/ryzen.html</x:v>
      </x:c>
      <x:c r="F55" s="125" t="n">
        <x:v>46218</x:v>
      </x:c>
      <x:c r="G55" s="121" t="str">
        <x:v>specs.socket
specs.cores
specs.threads
specs.architecture
specs.launch_period
specs.generation</x:v>
      </x:c>
      <x:c r="H55" s="121" t="str">
        <x:v>Codex</x:v>
      </x:c>
      <x:c r="I55" s="121" t="str">
        <x:v>発売日は公式の一般販売開始日を優先。日付を特定できない場合はlaunch_periodと精度のみ登録。</x:v>
      </x:c>
    </x:row>
    <x:row r="56" ht="58" customHeight="1">
      <x:c r="A56" t="str">
        <x:v>amd-ryzen-7-8700f-passmark</x:v>
      </x:c>
      <x:c r="B56" t="str">
        <x:v>amd-ryzen-7-8700f</x:v>
      </x:c>
      <x:c r="C56" t="str">
        <x:v>technical_database</x:v>
      </x:c>
      <x:c r="D56" s="121" t="str">
        <x:v>AMD Ryzen 7 8700F PassMark benchmark</x:v>
      </x:c>
      <x:c r="E56" s="121" t="str">
        <x:v>https://www.cpubenchmark.net/cpu_lookup.php?cpu=AMD+Ryzen+7+8700F&amp;id=6104</x:v>
      </x:c>
      <x:c r="F56" s="125" t="n">
        <x:v>46218</x:v>
      </x:c>
      <x:c r="G56" s="121" t="str">
        <x:v>specs.passmark_cpu_mark
specs.passmark_single_thread_mark
specs.passmark_checked_at
specs.tdp_w</x:v>
      </x:c>
      <x:c r="H56" s="121" t="str">
        <x:v>Codex</x:v>
      </x:c>
      <x:c r="I56" s="121" t="str">
        <x:v>CPU Mega List（最終更新2026-07-11）から取得。スコアは投稿サンプルの更新で変動します。</x:v>
      </x:c>
    </x:row>
    <x:row r="57" ht="58" customHeight="1">
      <x:c r="A57" t="str">
        <x:v>amd-ryzen-7-8700g-official</x:v>
      </x:c>
      <x:c r="B57" t="str">
        <x:v>amd-ryzen-7-8700g</x:v>
      </x:c>
      <x:c r="C57" t="str">
        <x:v>manufacturer</x:v>
      </x:c>
      <x:c r="D57" s="121" t="str">
        <x:v>AMD Ryzen 7 8700G 公式仕様・発売情報</x:v>
      </x:c>
      <x:c r="E57" s="121" t="str">
        <x:v>https://www.amd.com/en/newsroom/press-releases/2024-1-8-amd-reveals-next-gen-desktop-processors-for-extrem.html</x:v>
      </x:c>
      <x:c r="F57" s="125" t="n">
        <x:v>46218</x:v>
      </x:c>
      <x:c r="G57" s="121" t="str">
        <x:v>specs.socket
specs.cores
specs.threads
specs.architecture
specs.release_date
specs.launch_period
specs.generation</x:v>
      </x:c>
      <x:c r="H57" s="121" t="str">
        <x:v>Codex</x:v>
      </x:c>
      <x:c r="I57" s="121" t="str">
        <x:v>発売日は公式の一般販売開始日を優先。日付を特定できない場合はlaunch_periodと精度のみ登録。</x:v>
      </x:c>
    </x:row>
    <x:row r="58" ht="58" customHeight="1">
      <x:c r="A58" t="str">
        <x:v>amd-ryzen-7-8700g-passmark</x:v>
      </x:c>
      <x:c r="B58" t="str">
        <x:v>amd-ryzen-7-8700g</x:v>
      </x:c>
      <x:c r="C58" t="str">
        <x:v>technical_database</x:v>
      </x:c>
      <x:c r="D58" s="121" t="str">
        <x:v>AMD Ryzen 7 8700G PassMark benchmark</x:v>
      </x:c>
      <x:c r="E58" s="121" t="str">
        <x:v>https://www.cpubenchmark.net/cpu_lookup.php?cpu=AMD+Ryzen+7+8700G&amp;id=5836</x:v>
      </x:c>
      <x:c r="F58" s="125" t="n">
        <x:v>46218</x:v>
      </x:c>
      <x:c r="G58" s="121" t="str">
        <x:v>specs.passmark_cpu_mark
specs.passmark_single_thread_mark
specs.passmark_checked_at
specs.tdp_w</x:v>
      </x:c>
      <x:c r="H58" s="121" t="str">
        <x:v>Codex</x:v>
      </x:c>
      <x:c r="I58" s="121" t="str">
        <x:v>CPU Mega List（最終更新2026-07-11）から取得。スコアは投稿サンプルの更新で変動します。</x:v>
      </x:c>
    </x:row>
    <x:row r="59" ht="58" customHeight="1">
      <x:c r="A59" t="str">
        <x:v>amd-ryzen-7-9700f-official</x:v>
      </x:c>
      <x:c r="B59" t="str">
        <x:v>amd-ryzen-7-9700f</x:v>
      </x:c>
      <x:c r="C59" t="str">
        <x:v>manufacturer</x:v>
      </x:c>
      <x:c r="D59" s="121" t="str">
        <x:v>AMD Ryzen 7 9700F 公式仕様・発売情報</x:v>
      </x:c>
      <x:c r="E59" s="121" t="str">
        <x:v>https://www.amd.com/en/products/processors/desktops/ryzen.html</x:v>
      </x:c>
      <x:c r="F59" s="125" t="n">
        <x:v>46218</x:v>
      </x:c>
      <x:c r="G59" s="121" t="str">
        <x:v>specs.socket
specs.cores
specs.threads
specs.architecture
specs.launch_period
specs.generation</x:v>
      </x:c>
      <x:c r="H59" s="121" t="str">
        <x:v>Codex</x:v>
      </x:c>
      <x:c r="I59" s="121" t="str">
        <x:v>発売日は公式の一般販売開始日を優先。日付を特定できない場合はlaunch_periodと精度のみ登録。</x:v>
      </x:c>
    </x:row>
    <x:row r="60" ht="58" customHeight="1">
      <x:c r="A60" t="str">
        <x:v>amd-ryzen-7-9700f-passmark</x:v>
      </x:c>
      <x:c r="B60" t="str">
        <x:v>amd-ryzen-7-9700f</x:v>
      </x:c>
      <x:c r="C60" t="str">
        <x:v>technical_database</x:v>
      </x:c>
      <x:c r="D60" s="121" t="str">
        <x:v>AMD Ryzen 7 9700F PassMark benchmark</x:v>
      </x:c>
      <x:c r="E60" s="121" t="str">
        <x:v>https://www.cpubenchmark.net/cpu_lookup.php?cpu=AMD+Ryzen+7+9700F&amp;id=7182</x:v>
      </x:c>
      <x:c r="F60" s="125" t="n">
        <x:v>46218</x:v>
      </x:c>
      <x:c r="G60" s="121" t="str">
        <x:v>specs.passmark_cpu_mark
specs.passmark_single_thread_mark
specs.passmark_checked_at
specs.tdp_w</x:v>
      </x:c>
      <x:c r="H60" s="121" t="str">
        <x:v>Codex</x:v>
      </x:c>
      <x:c r="I60" s="121" t="str">
        <x:v>CPU Mega List（最終更新2026-07-11）から取得。スコアは投稿サンプルの更新で変動します。</x:v>
      </x:c>
    </x:row>
    <x:row r="61" ht="58" customHeight="1">
      <x:c r="A61" t="str">
        <x:v>amd-ryzen-7-9700x-official</x:v>
      </x:c>
      <x:c r="B61" t="str">
        <x:v>amd-ryzen-7-9700x</x:v>
      </x:c>
      <x:c r="C61" t="str">
        <x:v>manufacturer</x:v>
      </x:c>
      <x:c r="D61" s="121" t="str">
        <x:v>AMD Ryzen 7 9700X 公式仕様・発売情報</x:v>
      </x:c>
      <x:c r="E61" s="121" t="str">
        <x:v>https://www.amd.com/en/products/processors/desktops/ryzen.html</x:v>
      </x:c>
      <x:c r="F61" s="125" t="n">
        <x:v>46218</x:v>
      </x:c>
      <x:c r="G61" s="121" t="str">
        <x:v>specs.socket
specs.cores
specs.threads
specs.architecture
specs.release_date
specs.launch_period
specs.generation</x:v>
      </x:c>
      <x:c r="H61" s="121" t="str">
        <x:v>Codex</x:v>
      </x:c>
      <x:c r="I61" s="121" t="str">
        <x:v>発売日は公式の一般販売開始日を優先。日付を特定できない場合はlaunch_periodと精度のみ登録。</x:v>
      </x:c>
    </x:row>
    <x:row r="62" ht="58" customHeight="1">
      <x:c r="A62" t="str">
        <x:v>amd-ryzen-7-9700x-passmark</x:v>
      </x:c>
      <x:c r="B62" t="str">
        <x:v>amd-ryzen-7-9700x</x:v>
      </x:c>
      <x:c r="C62" t="str">
        <x:v>technical_database</x:v>
      </x:c>
      <x:c r="D62" s="121" t="str">
        <x:v>AMD Ryzen 7 9700X PassMark benchmark</x:v>
      </x:c>
      <x:c r="E62" s="121" t="str">
        <x:v>https://www.cpubenchmark.net/cpu_lookup.php?cpu=AMD+Ryzen+7+9700X&amp;id=6205</x:v>
      </x:c>
      <x:c r="F62" s="125" t="n">
        <x:v>46218</x:v>
      </x:c>
      <x:c r="G62" s="121" t="str">
        <x:v>specs.passmark_cpu_mark
specs.passmark_single_thread_mark
specs.passmark_checked_at
specs.tdp_w</x:v>
      </x:c>
      <x:c r="H62" s="121" t="str">
        <x:v>Codex</x:v>
      </x:c>
      <x:c r="I62" s="121" t="str">
        <x:v>CPU Mega List（最終更新2026-07-11）から取得。スコアは投稿サンプルの更新で変動します。</x:v>
      </x:c>
    </x:row>
    <x:row r="63" ht="58" customHeight="1">
      <x:c r="A63" t="str">
        <x:v>amd-ryzen-7-9800x3d-official</x:v>
      </x:c>
      <x:c r="B63" t="str">
        <x:v>amd-ryzen-7-9800x3d</x:v>
      </x:c>
      <x:c r="C63" t="str">
        <x:v>manufacturer</x:v>
      </x:c>
      <x:c r="D63" s="121" t="str">
        <x:v>AMD Ryzen 7 9800X3D 公式仕様・発売情報</x:v>
      </x:c>
      <x:c r="E63" s="121" t="str">
        <x:v>https://www.amd.com/en/products/processors/desktops/ryzen.html</x:v>
      </x:c>
      <x:c r="F63" s="125" t="n">
        <x:v>46218</x:v>
      </x:c>
      <x:c r="G63" s="121" t="str">
        <x:v>specs.socket
specs.cores
specs.threads
specs.architecture
specs.release_date
specs.launch_period
specs.generation</x:v>
      </x:c>
      <x:c r="H63" s="121" t="str">
        <x:v>Codex</x:v>
      </x:c>
      <x:c r="I63" s="121" t="str">
        <x:v>発売日は公式の一般販売開始日を優先。日付を特定できない場合はlaunch_periodと精度のみ登録。</x:v>
      </x:c>
    </x:row>
    <x:row r="64" ht="58" customHeight="1">
      <x:c r="A64" t="str">
        <x:v>amd-ryzen-7-9800x3d-passmark</x:v>
      </x:c>
      <x:c r="B64" t="str">
        <x:v>amd-ryzen-7-9800x3d</x:v>
      </x:c>
      <x:c r="C64" t="str">
        <x:v>technical_database</x:v>
      </x:c>
      <x:c r="D64" s="121" t="str">
        <x:v>AMD Ryzen 7 9800X3D PassMark benchmark</x:v>
      </x:c>
      <x:c r="E64" s="121" t="str">
        <x:v>https://www.cpubenchmark.net/cpu_lookup.php?cpu=AMD+Ryzen+7+9800X3D&amp;id=6344</x:v>
      </x:c>
      <x:c r="F64" s="125" t="n">
        <x:v>46218</x:v>
      </x:c>
      <x:c r="G64" s="121" t="str">
        <x:v>specs.passmark_cpu_mark
specs.passmark_single_thread_mark
specs.passmark_checked_at
specs.tdp_w</x:v>
      </x:c>
      <x:c r="H64" s="121" t="str">
        <x:v>Codex</x:v>
      </x:c>
      <x:c r="I64" s="121" t="str">
        <x:v>CPU Mega List（最終更新2026-07-11）から取得。スコアは投稿サンプルの更新で変動します。</x:v>
      </x:c>
    </x:row>
    <x:row r="65" ht="58" customHeight="1">
      <x:c r="A65" t="str">
        <x:v>amd-ryzen-7-9850x3d-official</x:v>
      </x:c>
      <x:c r="B65" t="str">
        <x:v>amd-ryzen-7-9850x3d</x:v>
      </x:c>
      <x:c r="C65" t="str">
        <x:v>manufacturer</x:v>
      </x:c>
      <x:c r="D65" s="121" t="str">
        <x:v>AMD Ryzen 7 9850X3D 公式仕様・発売情報</x:v>
      </x:c>
      <x:c r="E65" s="121" t="str">
        <x:v>https://www.amd.com/en/newsroom/press-releases/2026-1-5-amd-expands-ai-leadership-across-client-graphics-.html</x:v>
      </x:c>
      <x:c r="F65" s="125" t="n">
        <x:v>46218</x:v>
      </x:c>
      <x:c r="G65" s="121" t="str">
        <x:v>specs.socket
specs.cores
specs.threads
specs.architecture
specs.launch_period
specs.generation</x:v>
      </x:c>
      <x:c r="H65" s="121" t="str">
        <x:v>Codex</x:v>
      </x:c>
      <x:c r="I65" s="121" t="str">
        <x:v>発売日は公式の一般販売開始日を優先。日付を特定できない場合はlaunch_periodと精度のみ登録。</x:v>
      </x:c>
    </x:row>
    <x:row r="66" ht="58" customHeight="1">
      <x:c r="A66" t="str">
        <x:v>amd-ryzen-7-9850x3d-passmark</x:v>
      </x:c>
      <x:c r="B66" t="str">
        <x:v>amd-ryzen-7-9850x3d</x:v>
      </x:c>
      <x:c r="C66" t="str">
        <x:v>technical_database</x:v>
      </x:c>
      <x:c r="D66" s="121" t="str">
        <x:v>AMD Ryzen 7 9850X3D PassMark benchmark</x:v>
      </x:c>
      <x:c r="E66" s="121" t="str">
        <x:v>https://www.cpubenchmark.net/cpu_lookup.php?cpu=AMD+Ryzen+7+9850X3D&amp;id=7074</x:v>
      </x:c>
      <x:c r="F66" s="125" t="n">
        <x:v>46218</x:v>
      </x:c>
      <x:c r="G66" s="121" t="str">
        <x:v>specs.passmark_cpu_mark
specs.passmark_single_thread_mark
specs.passmark_checked_at
specs.tdp_w</x:v>
      </x:c>
      <x:c r="H66" s="121" t="str">
        <x:v>Codex</x:v>
      </x:c>
      <x:c r="I66" s="121" t="str">
        <x:v>CPU Mega List（最終更新2026-07-11）から取得。スコアは投稿サンプルの更新で変動します。</x:v>
      </x:c>
    </x:row>
    <x:row r="67" ht="58" customHeight="1">
      <x:c r="A67" t="str">
        <x:v>amd-ryzen-9-5900x-official</x:v>
      </x:c>
      <x:c r="B67" t="str">
        <x:v>amd-ryzen-9-5900x</x:v>
      </x:c>
      <x:c r="C67" t="str">
        <x:v>manufacturer</x:v>
      </x:c>
      <x:c r="D67" s="121" t="str">
        <x:v>AMD Ryzen 9 5900X 公式仕様・発売情報</x:v>
      </x:c>
      <x:c r="E67" s="121" t="str">
        <x:v>https://www.amd.com/en/newsroom/press-releases/2020-10-8-amd-launches-amd-ryzen-5000-series-desktop-process.html</x:v>
      </x:c>
      <x:c r="F67" s="125" t="n">
        <x:v>46218</x:v>
      </x:c>
      <x:c r="G67" s="121" t="str">
        <x:v>specs.socket
specs.cores
specs.threads
specs.architecture
specs.release_date
specs.launch_period
specs.generation</x:v>
      </x:c>
      <x:c r="H67" s="121" t="str">
        <x:v>Codex</x:v>
      </x:c>
      <x:c r="I67" s="121" t="str">
        <x:v>発売日は公式の一般販売開始日を優先。日付を特定できない場合はlaunch_periodと精度のみ登録。</x:v>
      </x:c>
    </x:row>
    <x:row r="68" ht="58" customHeight="1">
      <x:c r="A68" t="str">
        <x:v>amd-ryzen-9-5900x-passmark</x:v>
      </x:c>
      <x:c r="B68" t="str">
        <x:v>amd-ryzen-9-5900x</x:v>
      </x:c>
      <x:c r="C68" t="str">
        <x:v>technical_database</x:v>
      </x:c>
      <x:c r="D68" s="121" t="str">
        <x:v>AMD Ryzen 9 5900X PassMark benchmark</x:v>
      </x:c>
      <x:c r="E68" s="121" t="str">
        <x:v>https://www.cpubenchmark.net/cpu_lookup.php?cpu=AMD+Ryzen+9+5900X&amp;id=3870</x:v>
      </x:c>
      <x:c r="F68" s="125" t="n">
        <x:v>46218</x:v>
      </x:c>
      <x:c r="G68" s="121" t="str">
        <x:v>specs.passmark_cpu_mark
specs.passmark_single_thread_mark
specs.passmark_checked_at
specs.tdp_w</x:v>
      </x:c>
      <x:c r="H68" s="121" t="str">
        <x:v>Codex</x:v>
      </x:c>
      <x:c r="I68" s="121" t="str">
        <x:v>CPU Mega List（最終更新2026-07-11）から取得。スコアは投稿サンプルの更新で変動します。</x:v>
      </x:c>
    </x:row>
    <x:row r="69" ht="58" customHeight="1">
      <x:c r="A69" t="str">
        <x:v>amd-ryzen-9-5900xt-official</x:v>
      </x:c>
      <x:c r="B69" t="str">
        <x:v>amd-ryzen-9-5900xt</x:v>
      </x:c>
      <x:c r="C69" t="str">
        <x:v>manufacturer</x:v>
      </x:c>
      <x:c r="D69" s="121" t="str">
        <x:v>AMD Ryzen 9 5900XT 公式仕様・発売情報</x:v>
      </x:c>
      <x:c r="E69" s="121" t="str">
        <x:v>https://www.amd.com/en/newsroom/press-releases/2024-6-2-amd-unveils-next-gen-zen-5-ryzen-processors-to-p.html</x:v>
      </x:c>
      <x:c r="F69" s="125" t="n">
        <x:v>46218</x:v>
      </x:c>
      <x:c r="G69" s="121" t="str">
        <x:v>specs.socket
specs.cores
specs.threads
specs.architecture
specs.launch_period
specs.generation</x:v>
      </x:c>
      <x:c r="H69" s="121" t="str">
        <x:v>Codex</x:v>
      </x:c>
      <x:c r="I69" s="121" t="str">
        <x:v>発売日は公式の一般販売開始日を優先。日付を特定できない場合はlaunch_periodと精度のみ登録。</x:v>
      </x:c>
    </x:row>
    <x:row r="70" ht="58" customHeight="1">
      <x:c r="A70" t="str">
        <x:v>amd-ryzen-9-5900xt-passmark</x:v>
      </x:c>
      <x:c r="B70" t="str">
        <x:v>amd-ryzen-9-5900xt</x:v>
      </x:c>
      <x:c r="C70" t="str">
        <x:v>technical_database</x:v>
      </x:c>
      <x:c r="D70" s="121" t="str">
        <x:v>AMD Ryzen 9 5900XT PassMark benchmark</x:v>
      </x:c>
      <x:c r="E70" s="121" t="str">
        <x:v>https://www.cpubenchmark.net/cpu_lookup.php?cpu=AMD+Ryzen+9+5900XT&amp;id=6187</x:v>
      </x:c>
      <x:c r="F70" s="125" t="n">
        <x:v>46218</x:v>
      </x:c>
      <x:c r="G70" s="121" t="str">
        <x:v>specs.passmark_cpu_mark
specs.passmark_single_thread_mark
specs.passmark_checked_at
specs.tdp_w</x:v>
      </x:c>
      <x:c r="H70" s="121" t="str">
        <x:v>Codex</x:v>
      </x:c>
      <x:c r="I70" s="121" t="str">
        <x:v>CPU Mega List（最終更新2026-07-11）から取得。スコアは投稿サンプルの更新で変動します。</x:v>
      </x:c>
    </x:row>
    <x:row r="71" ht="58" customHeight="1">
      <x:c r="A71" t="str">
        <x:v>amd-ryzen-9-5950x-official</x:v>
      </x:c>
      <x:c r="B71" t="str">
        <x:v>amd-ryzen-9-5950x</x:v>
      </x:c>
      <x:c r="C71" t="str">
        <x:v>manufacturer</x:v>
      </x:c>
      <x:c r="D71" s="121" t="str">
        <x:v>AMD Ryzen 9 5950X 公式仕様・発売情報</x:v>
      </x:c>
      <x:c r="E71" s="121" t="str">
        <x:v>https://www.amd.com/en/newsroom/press-releases/2020-10-8-amd-launches-amd-ryzen-5000-series-desktop-process.html</x:v>
      </x:c>
      <x:c r="F71" s="125" t="n">
        <x:v>46218</x:v>
      </x:c>
      <x:c r="G71" s="121" t="str">
        <x:v>specs.socket
specs.cores
specs.threads
specs.architecture
specs.release_date
specs.launch_period
specs.generation</x:v>
      </x:c>
      <x:c r="H71" s="121" t="str">
        <x:v>Codex</x:v>
      </x:c>
      <x:c r="I71" s="121" t="str">
        <x:v>発売日は公式の一般販売開始日を優先。日付を特定できない場合はlaunch_periodと精度のみ登録。</x:v>
      </x:c>
    </x:row>
    <x:row r="72" ht="58" customHeight="1">
      <x:c r="A72" t="str">
        <x:v>amd-ryzen-9-5950x-passmark</x:v>
      </x:c>
      <x:c r="B72" t="str">
        <x:v>amd-ryzen-9-5950x</x:v>
      </x:c>
      <x:c r="C72" t="str">
        <x:v>technical_database</x:v>
      </x:c>
      <x:c r="D72" s="121" t="str">
        <x:v>AMD Ryzen 9 5950X PassMark benchmark</x:v>
      </x:c>
      <x:c r="E72" s="121" t="str">
        <x:v>https://www.cpubenchmark.net/cpu_lookup.php?cpu=AMD+Ryzen+9+5950X&amp;id=3862</x:v>
      </x:c>
      <x:c r="F72" s="125" t="n">
        <x:v>46218</x:v>
      </x:c>
      <x:c r="G72" s="121" t="str">
        <x:v>specs.passmark_cpu_mark
specs.passmark_single_thread_mark
specs.passmark_checked_at
specs.tdp_w</x:v>
      </x:c>
      <x:c r="H72" s="121" t="str">
        <x:v>Codex</x:v>
      </x:c>
      <x:c r="I72" s="121" t="str">
        <x:v>CPU Mega List（最終更新2026-07-11）から取得。スコアは投稿サンプルの更新で変動します。</x:v>
      </x:c>
    </x:row>
    <x:row r="73" ht="58" customHeight="1">
      <x:c r="A73" t="str">
        <x:v>amd-ryzen-9-7900-official</x:v>
      </x:c>
      <x:c r="B73" t="str">
        <x:v>amd-ryzen-9-7900</x:v>
      </x:c>
      <x:c r="C73" t="str">
        <x:v>manufacturer</x:v>
      </x:c>
      <x:c r="D73" s="121" t="str">
        <x:v>AMD Ryzen 9 7900 公式仕様・発売情報</x:v>
      </x:c>
      <x:c r="E73" s="121" t="str">
        <x:v>https://www.amd.com/en/newsroom/press-releases/2023-1-4-amd-extends-its-leadership-with-the-introduction-o.html</x:v>
      </x:c>
      <x:c r="F73" s="125" t="n">
        <x:v>46218</x:v>
      </x:c>
      <x:c r="G73" s="121" t="str">
        <x:v>specs.socket
specs.cores
specs.threads
specs.architecture
specs.release_date
specs.launch_period
specs.generation</x:v>
      </x:c>
      <x:c r="H73" s="121" t="str">
        <x:v>Codex</x:v>
      </x:c>
      <x:c r="I73" s="121" t="str">
        <x:v>発売日は公式の一般販売開始日を優先。日付を特定できない場合はlaunch_periodと精度のみ登録。</x:v>
      </x:c>
    </x:row>
    <x:row r="74" ht="58" customHeight="1">
      <x:c r="A74" t="str">
        <x:v>amd-ryzen-9-7900-passmark</x:v>
      </x:c>
      <x:c r="B74" t="str">
        <x:v>amd-ryzen-9-7900</x:v>
      </x:c>
      <x:c r="C74" t="str">
        <x:v>technical_database</x:v>
      </x:c>
      <x:c r="D74" s="121" t="str">
        <x:v>AMD Ryzen 9 7900 PassMark benchmark</x:v>
      </x:c>
      <x:c r="E74" s="121" t="str">
        <x:v>https://www.cpubenchmark.net/cpu_lookup.php?cpu=AMD+Ryzen+9+7900&amp;id=5167</x:v>
      </x:c>
      <x:c r="F74" s="125" t="n">
        <x:v>46218</x:v>
      </x:c>
      <x:c r="G74" s="121" t="str">
        <x:v>specs.passmark_cpu_mark
specs.passmark_single_thread_mark
specs.passmark_checked_at
specs.tdp_w</x:v>
      </x:c>
      <x:c r="H74" s="121" t="str">
        <x:v>Codex</x:v>
      </x:c>
      <x:c r="I74" s="121" t="str">
        <x:v>CPU Mega List（最終更新2026-07-11）から取得。スコアは投稿サンプルの更新で変動します。</x:v>
      </x:c>
    </x:row>
    <x:row r="75" ht="58" customHeight="1">
      <x:c r="A75" t="str">
        <x:v>amd-ryzen-9-7900x-official</x:v>
      </x:c>
      <x:c r="B75" t="str">
        <x:v>amd-ryzen-9-7900x</x:v>
      </x:c>
      <x:c r="C75" t="str">
        <x:v>manufacturer</x:v>
      </x:c>
      <x:c r="D75" s="121" t="str">
        <x:v>AMD Ryzen 9 7900X 公式仕様・発売情報</x:v>
      </x:c>
      <x:c r="E75" s="121" t="str">
        <x:v>https://www.amd.com/en/newsroom/press-releases/2022-8-29-amd-launches-ryzen-7000-series-desktop-processors-.html</x:v>
      </x:c>
      <x:c r="F75" s="125" t="n">
        <x:v>46218</x:v>
      </x:c>
      <x:c r="G75" s="121" t="str">
        <x:v>specs.socket
specs.cores
specs.threads
specs.architecture
specs.release_date
specs.launch_period
specs.generation</x:v>
      </x:c>
      <x:c r="H75" s="121" t="str">
        <x:v>Codex</x:v>
      </x:c>
      <x:c r="I75" s="121" t="str">
        <x:v>発売日は公式の一般販売開始日を優先。日付を特定できない場合はlaunch_periodと精度のみ登録。</x:v>
      </x:c>
    </x:row>
    <x:row r="76" ht="58" customHeight="1">
      <x:c r="A76" t="str">
        <x:v>amd-ryzen-9-7900x-passmark</x:v>
      </x:c>
      <x:c r="B76" t="str">
        <x:v>amd-ryzen-9-7900x</x:v>
      </x:c>
      <x:c r="C76" t="str">
        <x:v>technical_database</x:v>
      </x:c>
      <x:c r="D76" s="121" t="str">
        <x:v>AMD Ryzen 9 7900X PassMark benchmark</x:v>
      </x:c>
      <x:c r="E76" s="121" t="str">
        <x:v>https://www.cpubenchmark.net/cpu_lookup.php?cpu=AMD+Ryzen+9+7900X&amp;id=5027</x:v>
      </x:c>
      <x:c r="F76" s="125" t="n">
        <x:v>46218</x:v>
      </x:c>
      <x:c r="G76" s="121" t="str">
        <x:v>specs.passmark_cpu_mark
specs.passmark_single_thread_mark
specs.passmark_checked_at
specs.tdp_w</x:v>
      </x:c>
      <x:c r="H76" s="121" t="str">
        <x:v>Codex</x:v>
      </x:c>
      <x:c r="I76" s="121" t="str">
        <x:v>CPU Mega List（最終更新2026-07-11）から取得。スコアは投稿サンプルの更新で変動します。</x:v>
      </x:c>
    </x:row>
    <x:row r="77" ht="58" customHeight="1">
      <x:c r="A77" t="str">
        <x:v>amd-ryzen-9-7900x3d-official</x:v>
      </x:c>
      <x:c r="B77" t="str">
        <x:v>amd-ryzen-9-7900x3d</x:v>
      </x:c>
      <x:c r="C77" t="str">
        <x:v>manufacturer</x:v>
      </x:c>
      <x:c r="D77" s="121" t="str">
        <x:v>AMD Ryzen 9 7900X3D 公式仕様・発売情報</x:v>
      </x:c>
      <x:c r="E77" s="121" t="str">
        <x:v>https://www.amd.com/en/newsroom/press-releases/2023-1-4-amd-extends-its-leadership-with-the-introduction-o.html</x:v>
      </x:c>
      <x:c r="F77" s="125" t="n">
        <x:v>46218</x:v>
      </x:c>
      <x:c r="G77" s="121" t="str">
        <x:v>specs.socket
specs.cores
specs.threads
specs.architecture
specs.release_date
specs.launch_period
specs.generation</x:v>
      </x:c>
      <x:c r="H77" s="121" t="str">
        <x:v>Codex</x:v>
      </x:c>
      <x:c r="I77" s="121" t="str">
        <x:v>発売日は公式の一般販売開始日を優先。日付を特定できない場合はlaunch_periodと精度のみ登録。</x:v>
      </x:c>
    </x:row>
    <x:row r="78" ht="58" customHeight="1">
      <x:c r="A78" t="str">
        <x:v>amd-ryzen-9-7900x3d-passmark</x:v>
      </x:c>
      <x:c r="B78" t="str">
        <x:v>amd-ryzen-9-7900x3d</x:v>
      </x:c>
      <x:c r="C78" t="str">
        <x:v>technical_database</x:v>
      </x:c>
      <x:c r="D78" s="121" t="str">
        <x:v>AMD Ryzen 9 7900X3D PassMark benchmark</x:v>
      </x:c>
      <x:c r="E78" s="121" t="str">
        <x:v>https://www.cpubenchmark.net/cpu_lookup.php?cpu=AMD+Ryzen+9+7900X3D&amp;id=5240</x:v>
      </x:c>
      <x:c r="F78" s="125" t="n">
        <x:v>46218</x:v>
      </x:c>
      <x:c r="G78" s="121" t="str">
        <x:v>specs.passmark_cpu_mark
specs.passmark_single_thread_mark
specs.passmark_checked_at
specs.tdp_w</x:v>
      </x:c>
      <x:c r="H78" s="121" t="str">
        <x:v>Codex</x:v>
      </x:c>
      <x:c r="I78" s="121" t="str">
        <x:v>CPU Mega List（最終更新2026-07-11）から取得。スコアは投稿サンプルの更新で変動します。</x:v>
      </x:c>
    </x:row>
    <x:row r="79" ht="58" customHeight="1">
      <x:c r="A79" t="str">
        <x:v>amd-ryzen-9-7950x-official</x:v>
      </x:c>
      <x:c r="B79" t="str">
        <x:v>amd-ryzen-9-7950x</x:v>
      </x:c>
      <x:c r="C79" t="str">
        <x:v>manufacturer</x:v>
      </x:c>
      <x:c r="D79" s="121" t="str">
        <x:v>AMD Ryzen 9 7950X 公式仕様・発売情報</x:v>
      </x:c>
      <x:c r="E79" s="121" t="str">
        <x:v>https://www.amd.com/en/newsroom/press-releases/2022-8-29-amd-launches-ryzen-7000-series-desktop-processors-.html</x:v>
      </x:c>
      <x:c r="F79" s="125" t="n">
        <x:v>46218</x:v>
      </x:c>
      <x:c r="G79" s="121" t="str">
        <x:v>specs.socket
specs.cores
specs.threads
specs.architecture
specs.release_date
specs.launch_period
specs.generation</x:v>
      </x:c>
      <x:c r="H79" s="121" t="str">
        <x:v>Codex</x:v>
      </x:c>
      <x:c r="I79" s="121" t="str">
        <x:v>発売日は公式の一般販売開始日を優先。日付を特定できない場合はlaunch_periodと精度のみ登録。</x:v>
      </x:c>
    </x:row>
    <x:row r="80" ht="58" customHeight="1">
      <x:c r="A80" t="str">
        <x:v>amd-ryzen-9-7950x-passmark</x:v>
      </x:c>
      <x:c r="B80" t="str">
        <x:v>amd-ryzen-9-7950x</x:v>
      </x:c>
      <x:c r="C80" t="str">
        <x:v>technical_database</x:v>
      </x:c>
      <x:c r="D80" s="121" t="str">
        <x:v>AMD Ryzen 9 7950X PassMark benchmark</x:v>
      </x:c>
      <x:c r="E80" s="121" t="str">
        <x:v>https://www.cpubenchmark.net/cpu_lookup.php?cpu=AMD+Ryzen+9+7950X&amp;id=5031</x:v>
      </x:c>
      <x:c r="F80" s="125" t="n">
        <x:v>46218</x:v>
      </x:c>
      <x:c r="G80" s="121" t="str">
        <x:v>specs.passmark_cpu_mark
specs.passmark_single_thread_mark
specs.passmark_checked_at
specs.tdp_w</x:v>
      </x:c>
      <x:c r="H80" s="121" t="str">
        <x:v>Codex</x:v>
      </x:c>
      <x:c r="I80" s="121" t="str">
        <x:v>CPU Mega List（最終更新2026-07-11）から取得。スコアは投稿サンプルの更新で変動します。</x:v>
      </x:c>
    </x:row>
    <x:row r="81" ht="58" customHeight="1">
      <x:c r="A81" t="str">
        <x:v>amd-ryzen-9-7950x3d-official</x:v>
      </x:c>
      <x:c r="B81" t="str">
        <x:v>amd-ryzen-9-7950x3d</x:v>
      </x:c>
      <x:c r="C81" t="str">
        <x:v>manufacturer</x:v>
      </x:c>
      <x:c r="D81" s="121" t="str">
        <x:v>AMD Ryzen 9 7950X3D 公式仕様・発売情報</x:v>
      </x:c>
      <x:c r="E81" s="121" t="str">
        <x:v>https://www.amd.com/en/newsroom/press-releases/2023-1-4-amd-extends-its-leadership-with-the-introduction-o.html</x:v>
      </x:c>
      <x:c r="F81" s="125" t="n">
        <x:v>46218</x:v>
      </x:c>
      <x:c r="G81" s="121" t="str">
        <x:v>specs.socket
specs.cores
specs.threads
specs.architecture
specs.release_date
specs.launch_period
specs.generation</x:v>
      </x:c>
      <x:c r="H81" s="121" t="str">
        <x:v>Codex</x:v>
      </x:c>
      <x:c r="I81" s="121" t="str">
        <x:v>発売日は公式の一般販売開始日を優先。日付を特定できない場合はlaunch_periodと精度のみ登録。</x:v>
      </x:c>
    </x:row>
    <x:row r="82" ht="58" customHeight="1">
      <x:c r="A82" t="str">
        <x:v>amd-ryzen-9-7950x3d-passmark</x:v>
      </x:c>
      <x:c r="B82" t="str">
        <x:v>amd-ryzen-9-7950x3d</x:v>
      </x:c>
      <x:c r="C82" t="str">
        <x:v>technical_database</x:v>
      </x:c>
      <x:c r="D82" s="121" t="str">
        <x:v>AMD Ryzen 9 7950X3D PassMark benchmark</x:v>
      </x:c>
      <x:c r="E82" s="121" t="str">
        <x:v>https://www.cpubenchmark.net/cpu_lookup.php?cpu=AMD+Ryzen+9+7950X3D&amp;id=5234</x:v>
      </x:c>
      <x:c r="F82" s="125" t="n">
        <x:v>46218</x:v>
      </x:c>
      <x:c r="G82" s="121" t="str">
        <x:v>specs.passmark_cpu_mark
specs.passmark_single_thread_mark
specs.passmark_checked_at
specs.tdp_w</x:v>
      </x:c>
      <x:c r="H82" s="121" t="str">
        <x:v>Codex</x:v>
      </x:c>
      <x:c r="I82" s="121" t="str">
        <x:v>CPU Mega List（最終更新2026-07-11）から取得。スコアは投稿サンプルの更新で変動します。</x:v>
      </x:c>
    </x:row>
    <x:row r="83" ht="58" customHeight="1">
      <x:c r="A83" t="str">
        <x:v>amd-ryzen-9-9900x-official</x:v>
      </x:c>
      <x:c r="B83" t="str">
        <x:v>amd-ryzen-9-9900x</x:v>
      </x:c>
      <x:c r="C83" t="str">
        <x:v>manufacturer</x:v>
      </x:c>
      <x:c r="D83" s="121" t="str">
        <x:v>AMD Ryzen 9 9900X 公式仕様・発売情報</x:v>
      </x:c>
      <x:c r="E83" s="121" t="str">
        <x:v>https://www.amd.com/en/products/processors/desktops/ryzen.html</x:v>
      </x:c>
      <x:c r="F83" s="125" t="n">
        <x:v>46218</x:v>
      </x:c>
      <x:c r="G83" s="121" t="str">
        <x:v>specs.socket
specs.cores
specs.threads
specs.architecture
specs.release_date
specs.launch_period
specs.generation</x:v>
      </x:c>
      <x:c r="H83" s="121" t="str">
        <x:v>Codex</x:v>
      </x:c>
      <x:c r="I83" s="121" t="str">
        <x:v>発売日は公式の一般販売開始日を優先。日付を特定できない場合はlaunch_periodと精度のみ登録。</x:v>
      </x:c>
    </x:row>
    <x:row r="84" ht="58" customHeight="1">
      <x:c r="A84" t="str">
        <x:v>amd-ryzen-9-9900x-passmark</x:v>
      </x:c>
      <x:c r="B84" t="str">
        <x:v>amd-ryzen-9-9900x</x:v>
      </x:c>
      <x:c r="C84" t="str">
        <x:v>technical_database</x:v>
      </x:c>
      <x:c r="D84" s="121" t="str">
        <x:v>AMD Ryzen 9 9900X PassMark benchmark</x:v>
      </x:c>
      <x:c r="E84" s="121" t="str">
        <x:v>https://www.cpubenchmark.net/cpu_lookup.php?cpu=AMD+Ryzen+9+9900X&amp;id=6171</x:v>
      </x:c>
      <x:c r="F84" s="125" t="n">
        <x:v>46218</x:v>
      </x:c>
      <x:c r="G84" s="121" t="str">
        <x:v>specs.passmark_cpu_mark
specs.passmark_single_thread_mark
specs.passmark_checked_at
specs.tdp_w</x:v>
      </x:c>
      <x:c r="H84" s="121" t="str">
        <x:v>Codex</x:v>
      </x:c>
      <x:c r="I84" s="121" t="str">
        <x:v>CPU Mega List（最終更新2026-07-11）から取得。スコアは投稿サンプルの更新で変動します。</x:v>
      </x:c>
    </x:row>
    <x:row r="85" ht="58" customHeight="1">
      <x:c r="A85" t="str">
        <x:v>amd-ryzen-9-9900x3d-official</x:v>
      </x:c>
      <x:c r="B85" t="str">
        <x:v>amd-ryzen-9-9900x3d</x:v>
      </x:c>
      <x:c r="C85" t="str">
        <x:v>manufacturer</x:v>
      </x:c>
      <x:c r="D85" s="121" t="str">
        <x:v>AMD Ryzen 9 9900X3D 公式仕様・発売情報</x:v>
      </x:c>
      <x:c r="E85" s="121" t="str">
        <x:v>https://www.amd.com/en/products/processors/desktops/ryzen.html</x:v>
      </x:c>
      <x:c r="F85" s="125" t="n">
        <x:v>46218</x:v>
      </x:c>
      <x:c r="G85" s="121" t="str">
        <x:v>specs.socket
specs.cores
specs.threads
specs.architecture
specs.release_date
specs.launch_period
specs.generation</x:v>
      </x:c>
      <x:c r="H85" s="121" t="str">
        <x:v>Codex</x:v>
      </x:c>
      <x:c r="I85" s="121" t="str">
        <x:v>発売日は公式の一般販売開始日を優先。日付を特定できない場合はlaunch_periodと精度のみ登録。</x:v>
      </x:c>
    </x:row>
    <x:row r="86" ht="58" customHeight="1">
      <x:c r="A86" t="str">
        <x:v>amd-ryzen-9-9900x3d-passmark</x:v>
      </x:c>
      <x:c r="B86" t="str">
        <x:v>amd-ryzen-9-9900x3d</x:v>
      </x:c>
      <x:c r="C86" t="str">
        <x:v>technical_database</x:v>
      </x:c>
      <x:c r="D86" s="121" t="str">
        <x:v>AMD Ryzen 9 9900X3D PassMark benchmark</x:v>
      </x:c>
      <x:c r="E86" s="121" t="str">
        <x:v>https://www.cpubenchmark.net/cpu_lookup.php?cpu=AMD+Ryzen+9+9900X3D&amp;id=6548</x:v>
      </x:c>
      <x:c r="F86" s="125" t="n">
        <x:v>46218</x:v>
      </x:c>
      <x:c r="G86" s="121" t="str">
        <x:v>specs.passmark_cpu_mark
specs.passmark_single_thread_mark
specs.passmark_checked_at
specs.tdp_w</x:v>
      </x:c>
      <x:c r="H86" s="121" t="str">
        <x:v>Codex</x:v>
      </x:c>
      <x:c r="I86" s="121" t="str">
        <x:v>CPU Mega List（最終更新2026-07-11）から取得。スコアは投稿サンプルの更新で変動します。</x:v>
      </x:c>
    </x:row>
    <x:row r="87" ht="58" customHeight="1">
      <x:c r="A87" t="str">
        <x:v>amd-ryzen-9-9950x-official</x:v>
      </x:c>
      <x:c r="B87" t="str">
        <x:v>amd-ryzen-9-9950x</x:v>
      </x:c>
      <x:c r="C87" t="str">
        <x:v>manufacturer</x:v>
      </x:c>
      <x:c r="D87" s="121" t="str">
        <x:v>AMD Ryzen 9 9950X 公式仕様・発売情報</x:v>
      </x:c>
      <x:c r="E87" s="121" t="str">
        <x:v>https://www.amd.com/en/products/processors/desktops/ryzen.html</x:v>
      </x:c>
      <x:c r="F87" s="125" t="n">
        <x:v>46218</x:v>
      </x:c>
      <x:c r="G87" s="121" t="str">
        <x:v>specs.socket
specs.cores
specs.threads
specs.architecture
specs.release_date
specs.launch_period
specs.generation</x:v>
      </x:c>
      <x:c r="H87" s="121" t="str">
        <x:v>Codex</x:v>
      </x:c>
      <x:c r="I87" s="121" t="str">
        <x:v>発売日は公式の一般販売開始日を優先。日付を特定できない場合はlaunch_periodと精度のみ登録。</x:v>
      </x:c>
    </x:row>
    <x:row r="88" ht="58" customHeight="1">
      <x:c r="A88" t="str">
        <x:v>amd-ryzen-9-9950x-passmark</x:v>
      </x:c>
      <x:c r="B88" t="str">
        <x:v>amd-ryzen-9-9950x</x:v>
      </x:c>
      <x:c r="C88" t="str">
        <x:v>technical_database</x:v>
      </x:c>
      <x:c r="D88" s="121" t="str">
        <x:v>AMD Ryzen 9 9950X PassMark benchmark</x:v>
      </x:c>
      <x:c r="E88" s="121" t="str">
        <x:v>https://www.cpubenchmark.net/cpu_lookup.php?cpu=AMD+Ryzen+9+9950X&amp;id=6211</x:v>
      </x:c>
      <x:c r="F88" s="125" t="n">
        <x:v>46218</x:v>
      </x:c>
      <x:c r="G88" s="121" t="str">
        <x:v>specs.passmark_cpu_mark
specs.passmark_single_thread_mark
specs.passmark_checked_at
specs.tdp_w</x:v>
      </x:c>
      <x:c r="H88" s="121" t="str">
        <x:v>Codex</x:v>
      </x:c>
      <x:c r="I88" s="121" t="str">
        <x:v>CPU Mega List（最終更新2026-07-11）から取得。スコアは投稿サンプルの更新で変動します。</x:v>
      </x:c>
    </x:row>
    <x:row r="89" ht="58" customHeight="1">
      <x:c r="A89" t="str">
        <x:v>amd-ryzen-9-9950x3d-official</x:v>
      </x:c>
      <x:c r="B89" t="str">
        <x:v>amd-ryzen-9-9950x3d</x:v>
      </x:c>
      <x:c r="C89" t="str">
        <x:v>manufacturer</x:v>
      </x:c>
      <x:c r="D89" s="121" t="str">
        <x:v>AMD Ryzen 9 9950X3D 公式仕様・発売情報</x:v>
      </x:c>
      <x:c r="E89" s="121" t="str">
        <x:v>https://www.amd.com/en/products/processors/desktops/ryzen.html</x:v>
      </x:c>
      <x:c r="F89" s="125" t="n">
        <x:v>46218</x:v>
      </x:c>
      <x:c r="G89" s="121" t="str">
        <x:v>specs.socket
specs.cores
specs.threads
specs.architecture
specs.release_date
specs.launch_period
specs.generation</x:v>
      </x:c>
      <x:c r="H89" s="121" t="str">
        <x:v>Codex</x:v>
      </x:c>
      <x:c r="I89" s="121" t="str">
        <x:v>発売日は公式の一般販売開始日を優先。日付を特定できない場合はlaunch_periodと精度のみ登録。</x:v>
      </x:c>
    </x:row>
    <x:row r="90" ht="58" customHeight="1">
      <x:c r="A90" t="str">
        <x:v>amd-ryzen-9-9950x3d-passmark</x:v>
      </x:c>
      <x:c r="B90" t="str">
        <x:v>amd-ryzen-9-9950x3d</x:v>
      </x:c>
      <x:c r="C90" t="str">
        <x:v>technical_database</x:v>
      </x:c>
      <x:c r="D90" s="121" t="str">
        <x:v>AMD Ryzen 9 9950X3D PassMark benchmark</x:v>
      </x:c>
      <x:c r="E90" s="121" t="str">
        <x:v>https://www.cpubenchmark.net/cpu_lookup.php?cpu=AMD+Ryzen+9+9950X3D&amp;id=6549</x:v>
      </x:c>
      <x:c r="F90" s="125" t="n">
        <x:v>46218</x:v>
      </x:c>
      <x:c r="G90" s="121" t="str">
        <x:v>specs.passmark_cpu_mark
specs.passmark_single_thread_mark
specs.passmark_checked_at
specs.tdp_w</x:v>
      </x:c>
      <x:c r="H90" s="121" t="str">
        <x:v>Codex</x:v>
      </x:c>
      <x:c r="I90" s="121" t="str">
        <x:v>CPU Mega List（最終更新2026-07-11）から取得。スコアは投稿サンプルの更新で変動します。</x:v>
      </x:c>
    </x:row>
    <x:row r="91" ht="58" customHeight="1">
      <x:c r="A91" t="str">
        <x:v>amd-ryzen-9-9950x3d2-official</x:v>
      </x:c>
      <x:c r="B91" t="str">
        <x:v>amd-ryzen-9-9950x3d2</x:v>
      </x:c>
      <x:c r="C91" t="str">
        <x:v>manufacturer</x:v>
      </x:c>
      <x:c r="D91" s="121" t="str">
        <x:v>AMD Ryzen 9 9950X3D2 公式仕様・発売情報</x:v>
      </x:c>
      <x:c r="E91" s="121" t="str">
        <x:v>https://www.amd.com/en/newsroom/press-releases/2026-4-22-amd-launches-ryzen-9-9950x3d2-dual-edition-processor.html</x:v>
      </x:c>
      <x:c r="F91" s="125" t="n">
        <x:v>46218</x:v>
      </x:c>
      <x:c r="G91" s="121" t="str">
        <x:v>specs.socket
specs.cores
specs.threads
specs.architecture
specs.release_date
specs.launch_period
specs.generation</x:v>
      </x:c>
      <x:c r="H91" s="121" t="str">
        <x:v>Codex</x:v>
      </x:c>
      <x:c r="I91" s="121" t="str">
        <x:v>発売日は公式の一般販売開始日を優先。日付を特定できない場合はlaunch_periodと精度のみ登録。</x:v>
      </x:c>
    </x:row>
    <x:row r="92" ht="58" customHeight="1">
      <x:c r="A92" t="str">
        <x:v>amd-ryzen-9-9950x3d2-passmark</x:v>
      </x:c>
      <x:c r="B92" t="str">
        <x:v>amd-ryzen-9-9950x3d2</x:v>
      </x:c>
      <x:c r="C92" t="str">
        <x:v>technical_database</x:v>
      </x:c>
      <x:c r="D92" s="121" t="str">
        <x:v>AMD Ryzen 9 9950X3D2 PassMark benchmark</x:v>
      </x:c>
      <x:c r="E92" s="121" t="str">
        <x:v>https://www.cpubenchmark.net/cpu_lookup.php?cpu=AMD+Ryzen+9+9950X3D2&amp;id=7115</x:v>
      </x:c>
      <x:c r="F92" s="125" t="n">
        <x:v>46218</x:v>
      </x:c>
      <x:c r="G92" s="121" t="str">
        <x:v>specs.passmark_cpu_mark
specs.passmark_single_thread_mark
specs.passmark_checked_at
specs.tdp_w</x:v>
      </x:c>
      <x:c r="H92" s="121" t="str">
        <x:v>Codex</x:v>
      </x:c>
      <x:c r="I92" s="121" t="str">
        <x:v>CPU Mega List（最終更新2026-07-11）から取得。スコアは投稿サンプルの更新で変動します。</x:v>
      </x:c>
    </x:row>
    <x:row r="93" ht="58" customHeight="1">
      <x:c r="A93" t="str">
        <x:v>intel-core-i3-12100-official</x:v>
      </x:c>
      <x:c r="B93" t="str">
        <x:v>intel-core-i3-12100</x:v>
      </x:c>
      <x:c r="C93" t="str">
        <x:v>manufacturer</x:v>
      </x:c>
      <x:c r="D93" s="121" t="str">
        <x:v>Intel Core i3-12100 公式仕様・発売情報</x:v>
      </x:c>
      <x:c r="E93" s="121" t="str">
        <x:v>https://www.intel.com/content/www/us/en/products/sku/134584/intel-core-i312100-processor-12m-cache-up-to-4-30-ghz.html</x:v>
      </x:c>
      <x:c r="F93" s="125" t="n">
        <x:v>46218</x:v>
      </x:c>
      <x:c r="G93" s="121" t="str">
        <x:v>specs.socket
specs.cores
specs.threads
specs.architecture
specs.release_date
specs.launch_period
specs.generation</x:v>
      </x:c>
      <x:c r="H93" s="121" t="str">
        <x:v>Codex</x:v>
      </x:c>
      <x:c r="I93" s="121" t="str">
        <x:v>発売日は公式の一般販売開始日を優先。日付を特定できない場合はlaunch_periodと精度のみ登録。</x:v>
      </x:c>
    </x:row>
    <x:row r="94" ht="58" customHeight="1">
      <x:c r="A94" t="str">
        <x:v>intel-core-i3-12100-passmark</x:v>
      </x:c>
      <x:c r="B94" t="str">
        <x:v>intel-core-i3-12100</x:v>
      </x:c>
      <x:c r="C94" t="str">
        <x:v>technical_database</x:v>
      </x:c>
      <x:c r="D94" s="121" t="str">
        <x:v>Intel Core i3-12100 PassMark benchmark</x:v>
      </x:c>
      <x:c r="E94" s="121" t="str">
        <x:v>https://www.cpubenchmark.net/cpu_lookup.php?cpu=Intel+Core+i3-12100&amp;id=4687</x:v>
      </x:c>
      <x:c r="F94" s="125" t="n">
        <x:v>46218</x:v>
      </x:c>
      <x:c r="G94" s="121" t="str">
        <x:v>specs.passmark_cpu_mark
specs.passmark_single_thread_mark
specs.passmark_checked_at
specs.tdp_w</x:v>
      </x:c>
      <x:c r="H94" s="121" t="str">
        <x:v>Codex</x:v>
      </x:c>
      <x:c r="I94" s="121" t="str">
        <x:v>CPU Mega List（最終更新2026-07-11）から取得。スコアは投稿サンプルの更新で変動します。</x:v>
      </x:c>
    </x:row>
    <x:row r="95" ht="58" customHeight="1">
      <x:c r="A95" t="str">
        <x:v>intel-core-i3-12100f-official</x:v>
      </x:c>
      <x:c r="B95" t="str">
        <x:v>intel-core-i3-12100f</x:v>
      </x:c>
      <x:c r="C95" t="str">
        <x:v>manufacturer</x:v>
      </x:c>
      <x:c r="D95" s="121" t="str">
        <x:v>Intel Core i3-12100F 公式仕様・発売情報</x:v>
      </x:c>
      <x:c r="E95" s="121" t="str">
        <x:v>https://www.intel.com/content/www/us/en/products/sku/132223/intel-core-i312100f-processor-12m-cache-up-to-4-30-ghz.html</x:v>
      </x:c>
      <x:c r="F95" s="125" t="n">
        <x:v>46218</x:v>
      </x:c>
      <x:c r="G95" s="121" t="str">
        <x:v>specs.socket
specs.cores
specs.threads
specs.architecture
specs.release_date
specs.launch_period
specs.generation</x:v>
      </x:c>
      <x:c r="H95" s="121" t="str">
        <x:v>Codex</x:v>
      </x:c>
      <x:c r="I95" s="121" t="str">
        <x:v>発売日は公式の一般販売開始日を優先。日付を特定できない場合はlaunch_periodと精度のみ登録。</x:v>
      </x:c>
    </x:row>
    <x:row r="96" ht="58" customHeight="1">
      <x:c r="A96" t="str">
        <x:v>intel-core-i3-12100f-passmark</x:v>
      </x:c>
      <x:c r="B96" t="str">
        <x:v>intel-core-i3-12100f</x:v>
      </x:c>
      <x:c r="C96" t="str">
        <x:v>technical_database</x:v>
      </x:c>
      <x:c r="D96" s="121" t="str">
        <x:v>Intel Core i3-12100F PassMark benchmark</x:v>
      </x:c>
      <x:c r="E96" s="121" t="str">
        <x:v>https://www.cpubenchmark.net/cpu_lookup.php?cpu=Intel+Core+i3-12100F&amp;id=4670</x:v>
      </x:c>
      <x:c r="F96" s="125" t="n">
        <x:v>46218</x:v>
      </x:c>
      <x:c r="G96" s="121" t="str">
        <x:v>specs.passmark_cpu_mark
specs.passmark_single_thread_mark
specs.passmark_checked_at
specs.tdp_w</x:v>
      </x:c>
      <x:c r="H96" s="121" t="str">
        <x:v>Codex</x:v>
      </x:c>
      <x:c r="I96" s="121" t="str">
        <x:v>CPU Mega List（最終更新2026-07-11）から取得。スコアは投稿サンプルの更新で変動します。</x:v>
      </x:c>
    </x:row>
    <x:row r="97" ht="58" customHeight="1">
      <x:c r="A97" t="str">
        <x:v>intel-core-i3-12300-official</x:v>
      </x:c>
      <x:c r="B97" t="str">
        <x:v>intel-core-i3-12300</x:v>
      </x:c>
      <x:c r="C97" t="str">
        <x:v>manufacturer</x:v>
      </x:c>
      <x:c r="D97" s="121" t="str">
        <x:v>Intel Core i3-12300 公式仕様・発売情報</x:v>
      </x:c>
      <x:c r="E97" s="121" t="str">
        <x:v>https://www.intel.com/content/www/us/en/products/sku/223095/intel-core-i312300-processor-12m-cache-up-to-4-40-ghz.html</x:v>
      </x:c>
      <x:c r="F97" s="125" t="n">
        <x:v>46218</x:v>
      </x:c>
      <x:c r="G97" s="121" t="str">
        <x:v>specs.socket
specs.cores
specs.threads
specs.architecture
specs.release_date
specs.launch_period
specs.generation</x:v>
      </x:c>
      <x:c r="H97" s="121" t="str">
        <x:v>Codex</x:v>
      </x:c>
      <x:c r="I97" s="121" t="str">
        <x:v>発売日は公式の一般販売開始日を優先。日付を特定できない場合はlaunch_periodと精度のみ登録。</x:v>
      </x:c>
    </x:row>
    <x:row r="98" ht="58" customHeight="1">
      <x:c r="A98" t="str">
        <x:v>intel-core-i3-12300-passmark</x:v>
      </x:c>
      <x:c r="B98" t="str">
        <x:v>intel-core-i3-12300</x:v>
      </x:c>
      <x:c r="C98" t="str">
        <x:v>technical_database</x:v>
      </x:c>
      <x:c r="D98" s="121" t="str">
        <x:v>Intel Core i3-12300 PassMark benchmark</x:v>
      </x:c>
      <x:c r="E98" s="121" t="str">
        <x:v>https://www.cpubenchmark.net/cpu_lookup.php?cpu=Intel+Core+i3-12300&amp;id=4746</x:v>
      </x:c>
      <x:c r="F98" s="125" t="n">
        <x:v>46218</x:v>
      </x:c>
      <x:c r="G98" s="121" t="str">
        <x:v>specs.passmark_cpu_mark
specs.passmark_single_thread_mark
specs.passmark_checked_at
specs.tdp_w</x:v>
      </x:c>
      <x:c r="H98" s="121" t="str">
        <x:v>Codex</x:v>
      </x:c>
      <x:c r="I98" s="121" t="str">
        <x:v>CPU Mega List（最終更新2026-07-11）から取得。スコアは投稿サンプルの更新で変動します。</x:v>
      </x:c>
    </x:row>
    <x:row r="99" ht="58" customHeight="1">
      <x:c r="A99" t="str">
        <x:v>intel-core-i3-13100-official</x:v>
      </x:c>
      <x:c r="B99" t="str">
        <x:v>intel-core-i3-13100</x:v>
      </x:c>
      <x:c r="C99" t="str">
        <x:v>manufacturer</x:v>
      </x:c>
      <x:c r="D99" s="121" t="str">
        <x:v>Intel Core i3-13100 公式仕様・発売情報</x:v>
      </x:c>
      <x:c r="E99" s="121" t="str">
        <x:v>https://www.intel.com/content/www/us/en/products/sku/230575/intel-core-i313100-processor-12m-cache-up-to-4-50-ghz.html</x:v>
      </x:c>
      <x:c r="F99" s="125" t="n">
        <x:v>46218</x:v>
      </x:c>
      <x:c r="G99" s="121" t="str">
        <x:v>specs.socket
specs.cores
specs.threads
specs.architecture
specs.release_date
specs.launch_period
specs.generation</x:v>
      </x:c>
      <x:c r="H99" s="121" t="str">
        <x:v>Codex</x:v>
      </x:c>
      <x:c r="I99" s="121" t="str">
        <x:v>発売日は公式の一般販売開始日を優先。日付を特定できない場合はlaunch_periodと精度のみ登録。</x:v>
      </x:c>
    </x:row>
    <x:row r="100" ht="58" customHeight="1">
      <x:c r="A100" t="str">
        <x:v>intel-core-i3-13100-passmark</x:v>
      </x:c>
      <x:c r="B100" t="str">
        <x:v>intel-core-i3-13100</x:v>
      </x:c>
      <x:c r="C100" t="str">
        <x:v>technical_database</x:v>
      </x:c>
      <x:c r="D100" s="121" t="str">
        <x:v>Intel Core i3-13100 PassMark benchmark</x:v>
      </x:c>
      <x:c r="E100" s="121" t="str">
        <x:v>https://www.cpubenchmark.net/cpu_lookup.php?cpu=Intel+Core+i3-13100&amp;id=5170</x:v>
      </x:c>
      <x:c r="F100" s="125" t="n">
        <x:v>46218</x:v>
      </x:c>
      <x:c r="G100" s="121" t="str">
        <x:v>specs.passmark_cpu_mark
specs.passmark_single_thread_mark
specs.passmark_checked_at
specs.tdp_w</x:v>
      </x:c>
      <x:c r="H100" s="121" t="str">
        <x:v>Codex</x:v>
      </x:c>
      <x:c r="I100" s="121" t="str">
        <x:v>CPU Mega List（最終更新2026-07-11）から取得。スコアは投稿サンプルの更新で変動します。</x:v>
      </x:c>
    </x:row>
    <x:row r="101" ht="58" customHeight="1">
      <x:c r="A101" t="str">
        <x:v>intel-core-i3-13100f-official</x:v>
      </x:c>
      <x:c r="B101" t="str">
        <x:v>intel-core-i3-13100f</x:v>
      </x:c>
      <x:c r="C101" t="str">
        <x:v>manufacturer</x:v>
      </x:c>
      <x:c r="D101" s="121" t="str">
        <x:v>Intel Core i3-13100F 公式仕様・発売情報</x:v>
      </x:c>
      <x:c r="E101" s="121" t="str">
        <x:v>https://www.intel.com/content/www/us/en/products/sku/230576/intel-core-i313100f-processor-12m-cache-up-to-4-50-ghz.html</x:v>
      </x:c>
      <x:c r="F101" s="125" t="n">
        <x:v>46218</x:v>
      </x:c>
      <x:c r="G101" s="121" t="str">
        <x:v>specs.socket
specs.cores
specs.threads
specs.architecture
specs.release_date
specs.launch_period
specs.generation</x:v>
      </x:c>
      <x:c r="H101" s="121" t="str">
        <x:v>Codex</x:v>
      </x:c>
      <x:c r="I101" s="121" t="str">
        <x:v>発売日は公式の一般販売開始日を優先。日付を特定できない場合はlaunch_periodと精度のみ登録。</x:v>
      </x:c>
    </x:row>
    <x:row r="102" ht="58" customHeight="1">
      <x:c r="A102" t="str">
        <x:v>intel-core-i3-13100f-passmark</x:v>
      </x:c>
      <x:c r="B102" t="str">
        <x:v>intel-core-i3-13100f</x:v>
      </x:c>
      <x:c r="C102" t="str">
        <x:v>technical_database</x:v>
      </x:c>
      <x:c r="D102" s="121" t="str">
        <x:v>Intel Core i3-13100F PassMark benchmark</x:v>
      </x:c>
      <x:c r="E102" s="121" t="str">
        <x:v>https://www.cpubenchmark.net/cpu_lookup.php?cpu=Intel+Core+i3-13100F&amp;id=5156</x:v>
      </x:c>
      <x:c r="F102" s="125" t="n">
        <x:v>46218</x:v>
      </x:c>
      <x:c r="G102" s="121" t="str">
        <x:v>specs.passmark_cpu_mark
specs.passmark_single_thread_mark
specs.passmark_checked_at
specs.tdp_w</x:v>
      </x:c>
      <x:c r="H102" s="121" t="str">
        <x:v>Codex</x:v>
      </x:c>
      <x:c r="I102" s="121" t="str">
        <x:v>CPU Mega List（最終更新2026-07-11）から取得。スコアは投稿サンプルの更新で変動します。</x:v>
      </x:c>
    </x:row>
    <x:row r="103" ht="58" customHeight="1">
      <x:c r="A103" t="str">
        <x:v>intel-core-i3-14100-official</x:v>
      </x:c>
      <x:c r="B103" t="str">
        <x:v>intel-core-i3-14100</x:v>
      </x:c>
      <x:c r="C103" t="str">
        <x:v>manufacturer</x:v>
      </x:c>
      <x:c r="D103" s="121" t="str">
        <x:v>Intel Core i3-14100 公式仕様・発売情報</x:v>
      </x:c>
      <x:c r="E103" s="121" t="str">
        <x:v>https://www.intel.com/content/www/us/en/products/sku/236774/intel-core-i3-processor-14100-12m-cache-up-to-4-70-ghz.html</x:v>
      </x:c>
      <x:c r="F103" s="125" t="n">
        <x:v>46218</x:v>
      </x:c>
      <x:c r="G103" s="121" t="str">
        <x:v>specs.socket
specs.cores
specs.threads
specs.architecture
specs.release_date
specs.launch_period
specs.generation</x:v>
      </x:c>
      <x:c r="H103" s="121" t="str">
        <x:v>Codex</x:v>
      </x:c>
      <x:c r="I103" s="121" t="str">
        <x:v>発売日は公式の一般販売開始日を優先。日付を特定できない場合はlaunch_periodと精度のみ登録。</x:v>
      </x:c>
    </x:row>
    <x:row r="104" ht="58" customHeight="1">
      <x:c r="A104" t="str">
        <x:v>intel-core-i3-14100-passmark</x:v>
      </x:c>
      <x:c r="B104" t="str">
        <x:v>intel-core-i3-14100</x:v>
      </x:c>
      <x:c r="C104" t="str">
        <x:v>technical_database</x:v>
      </x:c>
      <x:c r="D104" s="121" t="str">
        <x:v>Intel Core i3-14100 PassMark benchmark</x:v>
      </x:c>
      <x:c r="E104" s="121" t="str">
        <x:v>https://www.cpubenchmark.net/cpu_lookup.php?cpu=Intel+Core+i3-14100&amp;id=5831</x:v>
      </x:c>
      <x:c r="F104" s="125" t="n">
        <x:v>46218</x:v>
      </x:c>
      <x:c r="G104" s="121" t="str">
        <x:v>specs.passmark_cpu_mark
specs.passmark_single_thread_mark
specs.passmark_checked_at
specs.tdp_w</x:v>
      </x:c>
      <x:c r="H104" s="121" t="str">
        <x:v>Codex</x:v>
      </x:c>
      <x:c r="I104" s="121" t="str">
        <x:v>CPU Mega List（最終更新2026-07-11）から取得。スコアは投稿サンプルの更新で変動します。</x:v>
      </x:c>
    </x:row>
    <x:row r="105" ht="58" customHeight="1">
      <x:c r="A105" t="str">
        <x:v>intel-core-i3-14100f-official</x:v>
      </x:c>
      <x:c r="B105" t="str">
        <x:v>intel-core-i3-14100f</x:v>
      </x:c>
      <x:c r="C105" t="str">
        <x:v>manufacturer</x:v>
      </x:c>
      <x:c r="D105" s="121" t="str">
        <x:v>Intel Core i3-14100F 公式仕様・発売情報</x:v>
      </x:c>
      <x:c r="E105" s="121" t="str">
        <x:v>https://www.intel.com/content/www/us/en/products/sku/236786/intel-core-i3-processor-14100f-12m-cache-up-to-4-70-ghz.html</x:v>
      </x:c>
      <x:c r="F105" s="125" t="n">
        <x:v>46218</x:v>
      </x:c>
      <x:c r="G105" s="121" t="str">
        <x:v>specs.socket
specs.cores
specs.threads
specs.architecture
specs.release_date
specs.launch_period
specs.generation</x:v>
      </x:c>
      <x:c r="H105" s="121" t="str">
        <x:v>Codex</x:v>
      </x:c>
      <x:c r="I105" s="121" t="str">
        <x:v>発売日は公式の一般販売開始日を優先。日付を特定できない場合はlaunch_periodと精度のみ登録。</x:v>
      </x:c>
    </x:row>
    <x:row r="106" ht="58" customHeight="1">
      <x:c r="A106" t="str">
        <x:v>intel-core-i3-14100f-passmark</x:v>
      </x:c>
      <x:c r="B106" t="str">
        <x:v>intel-core-i3-14100f</x:v>
      </x:c>
      <x:c r="C106" t="str">
        <x:v>technical_database</x:v>
      </x:c>
      <x:c r="D106" s="121" t="str">
        <x:v>Intel Core i3-14100F PassMark benchmark</x:v>
      </x:c>
      <x:c r="E106" s="121" t="str">
        <x:v>https://www.cpubenchmark.net/cpu_lookup.php?cpu=Intel+Core+i3-14100F&amp;id=5853</x:v>
      </x:c>
      <x:c r="F106" s="125" t="n">
        <x:v>46218</x:v>
      </x:c>
      <x:c r="G106" s="121" t="str">
        <x:v>specs.passmark_cpu_mark
specs.passmark_single_thread_mark
specs.passmark_checked_at
specs.tdp_w</x:v>
      </x:c>
      <x:c r="H106" s="121" t="str">
        <x:v>Codex</x:v>
      </x:c>
      <x:c r="I106" s="121" t="str">
        <x:v>CPU Mega List（最終更新2026-07-11）から取得。スコアは投稿サンプルの更新で変動します。</x:v>
      </x:c>
    </x:row>
    <x:row r="107" ht="58" customHeight="1">
      <x:c r="A107" t="str">
        <x:v>intel-core-i5-12400-official</x:v>
      </x:c>
      <x:c r="B107" t="str">
        <x:v>intel-core-i5-12400</x:v>
      </x:c>
      <x:c r="C107" t="str">
        <x:v>manufacturer</x:v>
      </x:c>
      <x:c r="D107" s="121" t="str">
        <x:v>Intel Core i5-12400 公式仕様・発売情報</x:v>
      </x:c>
      <x:c r="E107" s="121" t="str">
        <x:v>https://www.intel.com/content/www/us/en/products/sku/134586/intel-core-i512400-processor-18m-cache-up-to-4-40-ghz.html</x:v>
      </x:c>
      <x:c r="F107" s="125" t="n">
        <x:v>46218</x:v>
      </x:c>
      <x:c r="G107" s="121" t="str">
        <x:v>specs.socket
specs.cores
specs.threads
specs.architecture
specs.release_date
specs.launch_period
specs.generation</x:v>
      </x:c>
      <x:c r="H107" s="121" t="str">
        <x:v>Codex</x:v>
      </x:c>
      <x:c r="I107" s="121" t="str">
        <x:v>発売日は公式の一般販売開始日を優先。日付を特定できない場合はlaunch_periodと精度のみ登録。</x:v>
      </x:c>
    </x:row>
    <x:row r="108" ht="58" customHeight="1">
      <x:c r="A108" t="str">
        <x:v>intel-core-i5-12400-passmark</x:v>
      </x:c>
      <x:c r="B108" t="str">
        <x:v>intel-core-i5-12400</x:v>
      </x:c>
      <x:c r="C108" t="str">
        <x:v>technical_database</x:v>
      </x:c>
      <x:c r="D108" s="121" t="str">
        <x:v>Intel Core i5-12400 PassMark benchmark</x:v>
      </x:c>
      <x:c r="E108" s="121" t="str">
        <x:v>https://www.cpubenchmark.net/cpu_lookup.php?cpu=Intel+Core+i5-12400&amp;id=4677</x:v>
      </x:c>
      <x:c r="F108" s="125" t="n">
        <x:v>46218</x:v>
      </x:c>
      <x:c r="G108" s="121" t="str">
        <x:v>specs.passmark_cpu_mark
specs.passmark_single_thread_mark
specs.passmark_checked_at
specs.tdp_w</x:v>
      </x:c>
      <x:c r="H108" s="121" t="str">
        <x:v>Codex</x:v>
      </x:c>
      <x:c r="I108" s="121" t="str">
        <x:v>CPU Mega List（最終更新2026-07-11）から取得。スコアは投稿サンプルの更新で変動します。</x:v>
      </x:c>
    </x:row>
    <x:row r="109" ht="58" customHeight="1">
      <x:c r="A109" t="str">
        <x:v>intel-core-i5-12400f-official</x:v>
      </x:c>
      <x:c r="B109" t="str">
        <x:v>intel-core-i5-12400f</x:v>
      </x:c>
      <x:c r="C109" t="str">
        <x:v>manufacturer</x:v>
      </x:c>
      <x:c r="D109" s="121" t="str">
        <x:v>Intel Core i5-12400F 公式仕様・発売情報</x:v>
      </x:c>
      <x:c r="E109" s="121" t="str">
        <x:v>https://www.intel.com/content/www/us/en/products/sku/134587/intel-core-i512400f-processor-18m-cache-up-to-4-40-ghz.html</x:v>
      </x:c>
      <x:c r="F109" s="125" t="n">
        <x:v>46218</x:v>
      </x:c>
      <x:c r="G109" s="121" t="str">
        <x:v>specs.socket
specs.cores
specs.threads
specs.architecture
specs.release_date
specs.launch_period
specs.generation</x:v>
      </x:c>
      <x:c r="H109" s="121" t="str">
        <x:v>Codex</x:v>
      </x:c>
      <x:c r="I109" s="121" t="str">
        <x:v>発売日は公式の一般販売開始日を優先。日付を特定できない場合はlaunch_periodと精度のみ登録。</x:v>
      </x:c>
    </x:row>
    <x:row r="110" ht="58" customHeight="1">
      <x:c r="A110" t="str">
        <x:v>intel-core-i5-12400f-passmark</x:v>
      </x:c>
      <x:c r="B110" t="str">
        <x:v>intel-core-i5-12400f</x:v>
      </x:c>
      <x:c r="C110" t="str">
        <x:v>technical_database</x:v>
      </x:c>
      <x:c r="D110" s="121" t="str">
        <x:v>Intel Core i5-12400F PassMark benchmark</x:v>
      </x:c>
      <x:c r="E110" s="121" t="str">
        <x:v>https://www.cpubenchmark.net/cpu_lookup.php?cpu=Intel+Core+i5-12400F&amp;id=4681</x:v>
      </x:c>
      <x:c r="F110" s="125" t="n">
        <x:v>46218</x:v>
      </x:c>
      <x:c r="G110" s="121" t="str">
        <x:v>specs.passmark_cpu_mark
specs.passmark_single_thread_mark
specs.passmark_checked_at
specs.tdp_w</x:v>
      </x:c>
      <x:c r="H110" s="121" t="str">
        <x:v>Codex</x:v>
      </x:c>
      <x:c r="I110" s="121" t="str">
        <x:v>CPU Mega List（最終更新2026-07-11）から取得。スコアは投稿サンプルの更新で変動します。</x:v>
      </x:c>
    </x:row>
    <x:row r="111" ht="58" customHeight="1">
      <x:c r="A111" t="str">
        <x:v>intel-core-i5-12500-official</x:v>
      </x:c>
      <x:c r="B111" t="str">
        <x:v>intel-core-i5-12500</x:v>
      </x:c>
      <x:c r="C111" t="str">
        <x:v>manufacturer</x:v>
      </x:c>
      <x:c r="D111" s="121" t="str">
        <x:v>Intel Core i5-12500 公式仕様・発売情報</x:v>
      </x:c>
      <x:c r="E111" s="121" t="str">
        <x:v>https://www.intel.com/content/www/us/en/products/sku/96144/intel-core-i512500-processor-18m-cache-up-to-4-60-ghz.html</x:v>
      </x:c>
      <x:c r="F111" s="125" t="n">
        <x:v>46218</x:v>
      </x:c>
      <x:c r="G111" s="121" t="str">
        <x:v>specs.socket
specs.cores
specs.threads
specs.architecture
specs.release_date
specs.launch_period
specs.generation</x:v>
      </x:c>
      <x:c r="H111" s="121" t="str">
        <x:v>Codex</x:v>
      </x:c>
      <x:c r="I111" s="121" t="str">
        <x:v>発売日は公式の一般販売開始日を優先。日付を特定できない場合はlaunch_periodと精度のみ登録。</x:v>
      </x:c>
    </x:row>
    <x:row r="112" ht="58" customHeight="1">
      <x:c r="A112" t="str">
        <x:v>intel-core-i5-12500-passmark</x:v>
      </x:c>
      <x:c r="B112" t="str">
        <x:v>intel-core-i5-12500</x:v>
      </x:c>
      <x:c r="C112" t="str">
        <x:v>technical_database</x:v>
      </x:c>
      <x:c r="D112" s="121" t="str">
        <x:v>Intel Core i5-12500 PassMark benchmark</x:v>
      </x:c>
      <x:c r="E112" s="121" t="str">
        <x:v>https://www.cpubenchmark.net/cpu_lookup.php?cpu=Intel+Core+i5-12500&amp;id=4675</x:v>
      </x:c>
      <x:c r="F112" s="125" t="n">
        <x:v>46218</x:v>
      </x:c>
      <x:c r="G112" s="121" t="str">
        <x:v>specs.passmark_cpu_mark
specs.passmark_single_thread_mark
specs.passmark_checked_at
specs.tdp_w</x:v>
      </x:c>
      <x:c r="H112" s="121" t="str">
        <x:v>Codex</x:v>
      </x:c>
      <x:c r="I112" s="121" t="str">
        <x:v>CPU Mega List（最終更新2026-07-11）から取得。スコアは投稿サンプルの更新で変動します。</x:v>
      </x:c>
    </x:row>
    <x:row r="113" ht="58" customHeight="1">
      <x:c r="A113" t="str">
        <x:v>intel-core-i5-12600-official</x:v>
      </x:c>
      <x:c r="B113" t="str">
        <x:v>intel-core-i5-12600</x:v>
      </x:c>
      <x:c r="C113" t="str">
        <x:v>manufacturer</x:v>
      </x:c>
      <x:c r="D113" s="121" t="str">
        <x:v>Intel Core i5-12600 公式仕様・発売情報</x:v>
      </x:c>
      <x:c r="E113" s="121" t="str">
        <x:v>https://www.intel.com/content/www/us/en/products/sku/96149/intel-core-i512600-processor-18m-cache-up-to-4-80-ghz.html</x:v>
      </x:c>
      <x:c r="F113" s="125" t="n">
        <x:v>46218</x:v>
      </x:c>
      <x:c r="G113" s="121" t="str">
        <x:v>specs.socket
specs.cores
specs.threads
specs.architecture
specs.release_date
specs.launch_period
specs.generation</x:v>
      </x:c>
      <x:c r="H113" s="121" t="str">
        <x:v>Codex</x:v>
      </x:c>
      <x:c r="I113" s="121" t="str">
        <x:v>発売日は公式の一般販売開始日を優先。日付を特定できない場合はlaunch_periodと精度のみ登録。</x:v>
      </x:c>
    </x:row>
    <x:row r="114" ht="58" customHeight="1">
      <x:c r="A114" t="str">
        <x:v>intel-core-i5-12600-passmark</x:v>
      </x:c>
      <x:c r="B114" t="str">
        <x:v>intel-core-i5-12600</x:v>
      </x:c>
      <x:c r="C114" t="str">
        <x:v>technical_database</x:v>
      </x:c>
      <x:c r="D114" s="121" t="str">
        <x:v>Intel Core i5-12600 PassMark benchmark</x:v>
      </x:c>
      <x:c r="E114" s="121" t="str">
        <x:v>https://www.cpubenchmark.net/cpu_lookup.php?cpu=Intel+Core+i5-12600&amp;id=4688</x:v>
      </x:c>
      <x:c r="F114" s="125" t="n">
        <x:v>46218</x:v>
      </x:c>
      <x:c r="G114" s="121" t="str">
        <x:v>specs.passmark_cpu_mark
specs.passmark_single_thread_mark
specs.passmark_checked_at
specs.tdp_w</x:v>
      </x:c>
      <x:c r="H114" s="121" t="str">
        <x:v>Codex</x:v>
      </x:c>
      <x:c r="I114" s="121" t="str">
        <x:v>CPU Mega List（最終更新2026-07-11）から取得。スコアは投稿サンプルの更新で変動します。</x:v>
      </x:c>
    </x:row>
    <x:row r="115" ht="58" customHeight="1">
      <x:c r="A115" t="str">
        <x:v>intel-core-i5-12600k-official</x:v>
      </x:c>
      <x:c r="B115" t="str">
        <x:v>intel-core-i5-12600k</x:v>
      </x:c>
      <x:c r="C115" t="str">
        <x:v>manufacturer</x:v>
      </x:c>
      <x:c r="D115" s="121" t="str">
        <x:v>Intel Core i5-12600K 公式仕様・発売情報</x:v>
      </x:c>
      <x:c r="E115" s="121" t="str">
        <x:v>https://www.intel.com/content/www/us/en/products/sku/134589/intel-core-i512600k-processor-20m-cache-up-to-4-90-ghz.html</x:v>
      </x:c>
      <x:c r="F115" s="125" t="n">
        <x:v>46218</x:v>
      </x:c>
      <x:c r="G115" s="121" t="str">
        <x:v>specs.socket
specs.cores
specs.threads
specs.architecture
specs.release_date
specs.launch_period
specs.generation</x:v>
      </x:c>
      <x:c r="H115" s="121" t="str">
        <x:v>Codex</x:v>
      </x:c>
      <x:c r="I115" s="121" t="str">
        <x:v>発売日は公式の一般販売開始日を優先。日付を特定できない場合はlaunch_periodと精度のみ登録。</x:v>
      </x:c>
    </x:row>
    <x:row r="116" ht="58" customHeight="1">
      <x:c r="A116" t="str">
        <x:v>intel-core-i5-12600k-passmark</x:v>
      </x:c>
      <x:c r="B116" t="str">
        <x:v>intel-core-i5-12600k</x:v>
      </x:c>
      <x:c r="C116" t="str">
        <x:v>technical_database</x:v>
      </x:c>
      <x:c r="D116" s="121" t="str">
        <x:v>Intel Core i5-12600K PassMark benchmark</x:v>
      </x:c>
      <x:c r="E116" s="121" t="str">
        <x:v>https://www.cpubenchmark.net/cpu_lookup.php?cpu=Intel+Core+i5-12600K&amp;id=4603</x:v>
      </x:c>
      <x:c r="F116" s="125" t="n">
        <x:v>46218</x:v>
      </x:c>
      <x:c r="G116" s="121" t="str">
        <x:v>specs.passmark_cpu_mark
specs.passmark_single_thread_mark
specs.passmark_checked_at
specs.tdp_w</x:v>
      </x:c>
      <x:c r="H116" s="121" t="str">
        <x:v>Codex</x:v>
      </x:c>
      <x:c r="I116" s="121" t="str">
        <x:v>CPU Mega List（最終更新2026-07-11）から取得。スコアは投稿サンプルの更新で変動します。</x:v>
      </x:c>
    </x:row>
    <x:row r="117" ht="58" customHeight="1">
      <x:c r="A117" t="str">
        <x:v>intel-core-i5-12600kf-official</x:v>
      </x:c>
      <x:c r="B117" t="str">
        <x:v>intel-core-i5-12600kf</x:v>
      </x:c>
      <x:c r="C117" t="str">
        <x:v>manufacturer</x:v>
      </x:c>
      <x:c r="D117" s="121" t="str">
        <x:v>Intel Core i5-12600KF 公式仕様・発売情報</x:v>
      </x:c>
      <x:c r="E117" s="121" t="str">
        <x:v>https://www.intel.com/content/www/us/en/products/sku/134590/intel-core-i512600kf-processor-20m-cache-up-to-4-90-ghz.html</x:v>
      </x:c>
      <x:c r="F117" s="125" t="n">
        <x:v>46218</x:v>
      </x:c>
      <x:c r="G117" s="121" t="str">
        <x:v>specs.socket
specs.cores
specs.threads
specs.architecture
specs.release_date
specs.launch_period
specs.generation</x:v>
      </x:c>
      <x:c r="H117" s="121" t="str">
        <x:v>Codex</x:v>
      </x:c>
      <x:c r="I117" s="121" t="str">
        <x:v>発売日は公式の一般販売開始日を優先。日付を特定できない場合はlaunch_periodと精度のみ登録。</x:v>
      </x:c>
    </x:row>
    <x:row r="118" ht="58" customHeight="1">
      <x:c r="A118" t="str">
        <x:v>intel-core-i5-12600kf-passmark</x:v>
      </x:c>
      <x:c r="B118" t="str">
        <x:v>intel-core-i5-12600kf</x:v>
      </x:c>
      <x:c r="C118" t="str">
        <x:v>technical_database</x:v>
      </x:c>
      <x:c r="D118" s="121" t="str">
        <x:v>Intel Core i5-12600KF PassMark benchmark</x:v>
      </x:c>
      <x:c r="E118" s="121" t="str">
        <x:v>https://www.cpubenchmark.net/cpu_lookup.php?cpu=Intel+Core+i5-12600KF&amp;id=4625</x:v>
      </x:c>
      <x:c r="F118" s="125" t="n">
        <x:v>46218</x:v>
      </x:c>
      <x:c r="G118" s="121" t="str">
        <x:v>specs.passmark_cpu_mark
specs.passmark_single_thread_mark
specs.passmark_checked_at
specs.tdp_w</x:v>
      </x:c>
      <x:c r="H118" s="121" t="str">
        <x:v>Codex</x:v>
      </x:c>
      <x:c r="I118" s="121" t="str">
        <x:v>CPU Mega List（最終更新2026-07-11）から取得。スコアは投稿サンプルの更新で変動します。</x:v>
      </x:c>
    </x:row>
    <x:row r="119" ht="58" customHeight="1">
      <x:c r="A119" t="str">
        <x:v>intel-core-i5-13400-official</x:v>
      </x:c>
      <x:c r="B119" t="str">
        <x:v>intel-core-i5-13400</x:v>
      </x:c>
      <x:c r="C119" t="str">
        <x:v>manufacturer</x:v>
      </x:c>
      <x:c r="D119" s="121" t="str">
        <x:v>Intel Core i5-13400 公式仕様・発売情報</x:v>
      </x:c>
      <x:c r="E119" s="121" t="str">
        <x:v>https://www.intel.com/content/www/us/en/products/sku/230495/intel-core-i513400-processor-20m-cache-up-to-4-60-ghz.html</x:v>
      </x:c>
      <x:c r="F119" s="125" t="n">
        <x:v>46218</x:v>
      </x:c>
      <x:c r="G119" s="121" t="str">
        <x:v>specs.socket
specs.cores
specs.threads
specs.architecture
specs.release_date
specs.launch_period
specs.generation</x:v>
      </x:c>
      <x:c r="H119" s="121" t="str">
        <x:v>Codex</x:v>
      </x:c>
      <x:c r="I119" s="121" t="str">
        <x:v>発売日は公式の一般販売開始日を優先。日付を特定できない場合はlaunch_periodと精度のみ登録。</x:v>
      </x:c>
    </x:row>
    <x:row r="120" ht="58" customHeight="1">
      <x:c r="A120" t="str">
        <x:v>intel-core-i5-13400-passmark</x:v>
      </x:c>
      <x:c r="B120" t="str">
        <x:v>intel-core-i5-13400</x:v>
      </x:c>
      <x:c r="C120" t="str">
        <x:v>technical_database</x:v>
      </x:c>
      <x:c r="D120" s="121" t="str">
        <x:v>Intel Core i5-13400 PassMark benchmark</x:v>
      </x:c>
      <x:c r="E120" s="121" t="str">
        <x:v>https://www.cpubenchmark.net/cpu_lookup.php?cpu=Intel+Core+i5-13400&amp;id=4994</x:v>
      </x:c>
      <x:c r="F120" s="125" t="n">
        <x:v>46218</x:v>
      </x:c>
      <x:c r="G120" s="121" t="str">
        <x:v>specs.passmark_cpu_mark
specs.passmark_single_thread_mark
specs.passmark_checked_at
specs.tdp_w</x:v>
      </x:c>
      <x:c r="H120" s="121" t="str">
        <x:v>Codex</x:v>
      </x:c>
      <x:c r="I120" s="121" t="str">
        <x:v>CPU Mega List（最終更新2026-07-11）から取得。スコアは投稿サンプルの更新で変動します。</x:v>
      </x:c>
    </x:row>
    <x:row r="121" ht="58" customHeight="1">
      <x:c r="A121" t="str">
        <x:v>intel-core-i5-13400f-official</x:v>
      </x:c>
      <x:c r="B121" t="str">
        <x:v>intel-core-i5-13400f</x:v>
      </x:c>
      <x:c r="C121" t="str">
        <x:v>manufacturer</x:v>
      </x:c>
      <x:c r="D121" s="121" t="str">
        <x:v>Intel Core i5-13400F 公式仕様・発売情報</x:v>
      </x:c>
      <x:c r="E121" s="121" t="str">
        <x:v>https://www.intel.com/content/www/us/en/products/sku/230501/intel-core-i513400f-processor-20m-cache-up-to-4-60-ghz.html</x:v>
      </x:c>
      <x:c r="F121" s="125" t="n">
        <x:v>46218</x:v>
      </x:c>
      <x:c r="G121" s="121" t="str">
        <x:v>specs.socket
specs.cores
specs.threads
specs.architecture
specs.release_date
specs.launch_period
specs.generation</x:v>
      </x:c>
      <x:c r="H121" s="121" t="str">
        <x:v>Codex</x:v>
      </x:c>
      <x:c r="I121" s="121" t="str">
        <x:v>発売日は公式の一般販売開始日を優先。日付を特定できない場合はlaunch_periodと精度のみ登録。</x:v>
      </x:c>
    </x:row>
    <x:row r="122" ht="58" customHeight="1">
      <x:c r="A122" t="str">
        <x:v>intel-core-i5-13400f-passmark</x:v>
      </x:c>
      <x:c r="B122" t="str">
        <x:v>intel-core-i5-13400f</x:v>
      </x:c>
      <x:c r="C122" t="str">
        <x:v>technical_database</x:v>
      </x:c>
      <x:c r="D122" s="121" t="str">
        <x:v>Intel Core i5-13400F PassMark benchmark</x:v>
      </x:c>
      <x:c r="E122" s="121" t="str">
        <x:v>https://www.cpubenchmark.net/cpu_lookup.php?cpu=Intel+Core+i5-13400F&amp;id=5166</x:v>
      </x:c>
      <x:c r="F122" s="125" t="n">
        <x:v>46218</x:v>
      </x:c>
      <x:c r="G122" s="121" t="str">
        <x:v>specs.passmark_cpu_mark
specs.passmark_single_thread_mark
specs.passmark_checked_at
specs.tdp_w</x:v>
      </x:c>
      <x:c r="H122" s="121" t="str">
        <x:v>Codex</x:v>
      </x:c>
      <x:c r="I122" s="121" t="str">
        <x:v>CPU Mega List（最終更新2026-07-11）から取得。スコアは投稿サンプルの更新で変動します。</x:v>
      </x:c>
    </x:row>
    <x:row r="123" ht="58" customHeight="1">
      <x:c r="A123" t="str">
        <x:v>intel-core-i5-13500-official</x:v>
      </x:c>
      <x:c r="B123" t="str">
        <x:v>intel-core-i5-13500</x:v>
      </x:c>
      <x:c r="C123" t="str">
        <x:v>manufacturer</x:v>
      </x:c>
      <x:c r="D123" s="121" t="str">
        <x:v>Intel Core i5-13500 公式仕様・発売情報</x:v>
      </x:c>
      <x:c r="E123" s="121" t="str">
        <x:v>https://www.intel.com/content/www/us/en/products/sku/230580/intel-core-i513500-processor-24m-cache-up-to-4-80-ghz.html</x:v>
      </x:c>
      <x:c r="F123" s="125" t="n">
        <x:v>46218</x:v>
      </x:c>
      <x:c r="G123" s="121" t="str">
        <x:v>specs.socket
specs.cores
specs.threads
specs.architecture
specs.release_date
specs.launch_period
specs.generation</x:v>
      </x:c>
      <x:c r="H123" s="121" t="str">
        <x:v>Codex</x:v>
      </x:c>
      <x:c r="I123" s="121" t="str">
        <x:v>発売日は公式の一般販売開始日を優先。日付を特定できない場合はlaunch_periodと精度のみ登録。</x:v>
      </x:c>
    </x:row>
    <x:row r="124" ht="58" customHeight="1">
      <x:c r="A124" t="str">
        <x:v>intel-core-i5-13500-passmark</x:v>
      </x:c>
      <x:c r="B124" t="str">
        <x:v>intel-core-i5-13500</x:v>
      </x:c>
      <x:c r="C124" t="str">
        <x:v>technical_database</x:v>
      </x:c>
      <x:c r="D124" s="121" t="str">
        <x:v>Intel Core i5-13500 PassMark benchmark</x:v>
      </x:c>
      <x:c r="E124" s="121" t="str">
        <x:v>https://www.cpubenchmark.net/cpu_lookup.php?cpu=Intel+Core+i5-13500&amp;id=4993</x:v>
      </x:c>
      <x:c r="F124" s="125" t="n">
        <x:v>46218</x:v>
      </x:c>
      <x:c r="G124" s="121" t="str">
        <x:v>specs.passmark_cpu_mark
specs.passmark_single_thread_mark
specs.passmark_checked_at
specs.tdp_w</x:v>
      </x:c>
      <x:c r="H124" s="121" t="str">
        <x:v>Codex</x:v>
      </x:c>
      <x:c r="I124" s="121" t="str">
        <x:v>CPU Mega List（最終更新2026-07-11）から取得。スコアは投稿サンプルの更新で変動します。</x:v>
      </x:c>
    </x:row>
    <x:row r="125" ht="58" customHeight="1">
      <x:c r="A125" t="str">
        <x:v>intel-core-i5-13600-official</x:v>
      </x:c>
      <x:c r="B125" t="str">
        <x:v>intel-core-i5-13600</x:v>
      </x:c>
      <x:c r="C125" t="str">
        <x:v>manufacturer</x:v>
      </x:c>
      <x:c r="D125" s="121" t="str">
        <x:v>Intel Core i5-13600 公式仕様・発売情報</x:v>
      </x:c>
      <x:c r="E125" s="121" t="str">
        <x:v>https://www.intel.com/content/www/us/en/products/sku/230574/intel-core-i513600-processor-24m-cache-up-to-5-00-ghz.html</x:v>
      </x:c>
      <x:c r="F125" s="125" t="n">
        <x:v>46218</x:v>
      </x:c>
      <x:c r="G125" s="121" t="str">
        <x:v>specs.socket
specs.cores
specs.threads
specs.architecture
specs.release_date
specs.launch_period
specs.generation</x:v>
      </x:c>
      <x:c r="H125" s="121" t="str">
        <x:v>Codex</x:v>
      </x:c>
      <x:c r="I125" s="121" t="str">
        <x:v>発売日は公式の一般販売開始日を優先。日付を特定できない場合はlaunch_periodと精度のみ登録。</x:v>
      </x:c>
    </x:row>
    <x:row r="126" ht="58" customHeight="1">
      <x:c r="A126" t="str">
        <x:v>intel-core-i5-13600-passmark</x:v>
      </x:c>
      <x:c r="B126" t="str">
        <x:v>intel-core-i5-13600</x:v>
      </x:c>
      <x:c r="C126" t="str">
        <x:v>technical_database</x:v>
      </x:c>
      <x:c r="D126" s="121" t="str">
        <x:v>Intel Core i5-13600 PassMark benchmark</x:v>
      </x:c>
      <x:c r="E126" s="121" t="str">
        <x:v>https://www.cpubenchmark.net/cpu_lookup.php?cpu=Intel+Core+i5-13600&amp;id=5159</x:v>
      </x:c>
      <x:c r="F126" s="125" t="n">
        <x:v>46218</x:v>
      </x:c>
      <x:c r="G126" s="121" t="str">
        <x:v>specs.passmark_cpu_mark
specs.passmark_single_thread_mark
specs.passmark_checked_at
specs.tdp_w</x:v>
      </x:c>
      <x:c r="H126" s="121" t="str">
        <x:v>Codex</x:v>
      </x:c>
      <x:c r="I126" s="121" t="str">
        <x:v>CPU Mega List（最終更新2026-07-11）から取得。スコアは投稿サンプルの更新で変動します。</x:v>
      </x:c>
    </x:row>
    <x:row r="127" ht="58" customHeight="1">
      <x:c r="A127" t="str">
        <x:v>intel-core-i5-13600k-official</x:v>
      </x:c>
      <x:c r="B127" t="str">
        <x:v>intel-core-i5-13600k</x:v>
      </x:c>
      <x:c r="C127" t="str">
        <x:v>manufacturer</x:v>
      </x:c>
      <x:c r="D127" s="121" t="str">
        <x:v>Intel Core i5-13600K 公式仕様・発売情報</x:v>
      </x:c>
      <x:c r="E127" s="121" t="str">
        <x:v>https://www.intel.com/content/www/us/en/products/sku/230493/intel-core-i513600k-processor-24m-cache-up-to-5-10-ghz.html</x:v>
      </x:c>
      <x:c r="F127" s="125" t="n">
        <x:v>46218</x:v>
      </x:c>
      <x:c r="G127" s="121" t="str">
        <x:v>specs.socket
specs.cores
specs.threads
specs.architecture
specs.release_date
specs.launch_period
specs.generation</x:v>
      </x:c>
      <x:c r="H127" s="121" t="str">
        <x:v>Codex</x:v>
      </x:c>
      <x:c r="I127" s="121" t="str">
        <x:v>発売日は公式の一般販売開始日を優先。日付を特定できない場合はlaunch_periodと精度のみ登録。</x:v>
      </x:c>
    </x:row>
    <x:row r="128" ht="58" customHeight="1">
      <x:c r="A128" t="str">
        <x:v>intel-core-i5-13600k-passmark</x:v>
      </x:c>
      <x:c r="B128" t="str">
        <x:v>intel-core-i5-13600k</x:v>
      </x:c>
      <x:c r="C128" t="str">
        <x:v>technical_database</x:v>
      </x:c>
      <x:c r="D128" s="121" t="str">
        <x:v>Intel Core i5-13600K PassMark benchmark</x:v>
      </x:c>
      <x:c r="E128" s="121" t="str">
        <x:v>https://www.cpubenchmark.net/cpu_lookup.php?cpu=Intel+Core+i5-13600K&amp;id=5008</x:v>
      </x:c>
      <x:c r="F128" s="125" t="n">
        <x:v>46218</x:v>
      </x:c>
      <x:c r="G128" s="121" t="str">
        <x:v>specs.passmark_cpu_mark
specs.passmark_single_thread_mark
specs.passmark_checked_at
specs.tdp_w</x:v>
      </x:c>
      <x:c r="H128" s="121" t="str">
        <x:v>Codex</x:v>
      </x:c>
      <x:c r="I128" s="121" t="str">
        <x:v>CPU Mega List（最終更新2026-07-11）から取得。スコアは投稿サンプルの更新で変動します。</x:v>
      </x:c>
    </x:row>
    <x:row r="129" ht="58" customHeight="1">
      <x:c r="A129" t="str">
        <x:v>intel-core-i5-13600kf-official</x:v>
      </x:c>
      <x:c r="B129" t="str">
        <x:v>intel-core-i5-13600kf</x:v>
      </x:c>
      <x:c r="C129" t="str">
        <x:v>manufacturer</x:v>
      </x:c>
      <x:c r="D129" s="121" t="str">
        <x:v>Intel Core i5-13600KF 公式仕様・発売情報</x:v>
      </x:c>
      <x:c r="E129" s="121" t="str">
        <x:v>https://www.intel.com/content/www/us/en/products/sku/230494/intel-core-i513600kf-processor-24m-cache-up-to-5-10-ghz.html</x:v>
      </x:c>
      <x:c r="F129" s="125" t="n">
        <x:v>46218</x:v>
      </x:c>
      <x:c r="G129" s="121" t="str">
        <x:v>specs.socket
specs.cores
specs.threads
specs.architecture
specs.release_date
specs.launch_period
specs.generation</x:v>
      </x:c>
      <x:c r="H129" s="121" t="str">
        <x:v>Codex</x:v>
      </x:c>
      <x:c r="I129" s="121" t="str">
        <x:v>発売日は公式の一般販売開始日を優先。日付を特定できない場合はlaunch_periodと精度のみ登録。</x:v>
      </x:c>
    </x:row>
    <x:row r="130" ht="58" customHeight="1">
      <x:c r="A130" t="str">
        <x:v>intel-core-i5-13600kf-passmark</x:v>
      </x:c>
      <x:c r="B130" t="str">
        <x:v>intel-core-i5-13600kf</x:v>
      </x:c>
      <x:c r="C130" t="str">
        <x:v>technical_database</x:v>
      </x:c>
      <x:c r="D130" s="121" t="str">
        <x:v>Intel Core i5-13600KF PassMark benchmark</x:v>
      </x:c>
      <x:c r="E130" s="121" t="str">
        <x:v>https://www.cpubenchmark.net/cpu_lookup.php?cpu=Intel+Core+i5-13600KF&amp;id=5059</x:v>
      </x:c>
      <x:c r="F130" s="125" t="n">
        <x:v>46218</x:v>
      </x:c>
      <x:c r="G130" s="121" t="str">
        <x:v>specs.passmark_cpu_mark
specs.passmark_single_thread_mark
specs.passmark_checked_at
specs.tdp_w</x:v>
      </x:c>
      <x:c r="H130" s="121" t="str">
        <x:v>Codex</x:v>
      </x:c>
      <x:c r="I130" s="121" t="str">
        <x:v>CPU Mega List（最終更新2026-07-11）から取得。スコアは投稿サンプルの更新で変動します。</x:v>
      </x:c>
    </x:row>
    <x:row r="131" ht="58" customHeight="1">
      <x:c r="A131" t="str">
        <x:v>intel-core-i5-14400-official</x:v>
      </x:c>
      <x:c r="B131" t="str">
        <x:v>intel-core-i5-14400</x:v>
      </x:c>
      <x:c r="C131" t="str">
        <x:v>manufacturer</x:v>
      </x:c>
      <x:c r="D131" s="121" t="str">
        <x:v>Intel Core i5-14400 公式仕様・発売情報</x:v>
      </x:c>
      <x:c r="E131" s="121" t="str">
        <x:v>https://newsroom.intel.com/client-computing/intel-core-14th-gen-desktop-processors</x:v>
      </x:c>
      <x:c r="F131" s="125" t="n">
        <x:v>46218</x:v>
      </x:c>
      <x:c r="G131" s="121" t="str">
        <x:v>specs.socket
specs.cores
specs.threads
specs.architecture
specs.release_date
specs.launch_period
specs.generation</x:v>
      </x:c>
      <x:c r="H131" s="121" t="str">
        <x:v>Codex</x:v>
      </x:c>
      <x:c r="I131" s="121" t="str">
        <x:v>発売日は公式の一般販売開始日を優先。日付を特定できない場合はlaunch_periodと精度のみ登録。</x:v>
      </x:c>
    </x:row>
    <x:row r="132" ht="58" customHeight="1">
      <x:c r="A132" t="str">
        <x:v>intel-core-i5-14400-passmark</x:v>
      </x:c>
      <x:c r="B132" t="str">
        <x:v>intel-core-i5-14400</x:v>
      </x:c>
      <x:c r="C132" t="str">
        <x:v>technical_database</x:v>
      </x:c>
      <x:c r="D132" s="121" t="str">
        <x:v>Intel Core i5-14400 PassMark benchmark</x:v>
      </x:c>
      <x:c r="E132" s="121" t="str">
        <x:v>https://www.cpubenchmark.net/cpu_lookup.php?cpu=Intel+Core+i5-14400&amp;id=5868</x:v>
      </x:c>
      <x:c r="F132" s="125" t="n">
        <x:v>46218</x:v>
      </x:c>
      <x:c r="G132" s="121" t="str">
        <x:v>specs.passmark_cpu_mark
specs.passmark_single_thread_mark
specs.passmark_checked_at
specs.tdp_w</x:v>
      </x:c>
      <x:c r="H132" s="121" t="str">
        <x:v>Codex</x:v>
      </x:c>
      <x:c r="I132" s="121" t="str">
        <x:v>CPU Mega List（最終更新2026-07-11）から取得。スコアは投稿サンプルの更新で変動します。</x:v>
      </x:c>
    </x:row>
    <x:row r="133" ht="58" customHeight="1">
      <x:c r="A133" t="str">
        <x:v>intel-core-i5-14400f-official</x:v>
      </x:c>
      <x:c r="B133" t="str">
        <x:v>intel-core-i5-14400f</x:v>
      </x:c>
      <x:c r="C133" t="str">
        <x:v>manufacturer</x:v>
      </x:c>
      <x:c r="D133" s="121" t="str">
        <x:v>Intel Core i5-14400F 公式仕様・発売情報</x:v>
      </x:c>
      <x:c r="E133" s="121" t="str">
        <x:v>https://newsroom.intel.com/client-computing/intel-core-14th-gen-desktop-processors</x:v>
      </x:c>
      <x:c r="F133" s="125" t="n">
        <x:v>46218</x:v>
      </x:c>
      <x:c r="G133" s="121" t="str">
        <x:v>specs.socket
specs.cores
specs.threads
specs.architecture
specs.release_date
specs.launch_period
specs.generation</x:v>
      </x:c>
      <x:c r="H133" s="121" t="str">
        <x:v>Codex</x:v>
      </x:c>
      <x:c r="I133" s="121" t="str">
        <x:v>発売日は公式の一般販売開始日を優先。日付を特定できない場合はlaunch_periodと精度のみ登録。</x:v>
      </x:c>
    </x:row>
    <x:row r="134" ht="58" customHeight="1">
      <x:c r="A134" t="str">
        <x:v>intel-core-i5-14400f-passmark</x:v>
      </x:c>
      <x:c r="B134" t="str">
        <x:v>intel-core-i5-14400f</x:v>
      </x:c>
      <x:c r="C134" t="str">
        <x:v>technical_database</x:v>
      </x:c>
      <x:c r="D134" s="121" t="str">
        <x:v>Intel Core i5-14400F PassMark benchmark</x:v>
      </x:c>
      <x:c r="E134" s="121" t="str">
        <x:v>https://www.cpubenchmark.net/cpu_lookup.php?cpu=Intel+Core+i5-14400F&amp;id=5837</x:v>
      </x:c>
      <x:c r="F134" s="125" t="n">
        <x:v>46218</x:v>
      </x:c>
      <x:c r="G134" s="121" t="str">
        <x:v>specs.passmark_cpu_mark
specs.passmark_single_thread_mark
specs.passmark_checked_at
specs.tdp_w</x:v>
      </x:c>
      <x:c r="H134" s="121" t="str">
        <x:v>Codex</x:v>
      </x:c>
      <x:c r="I134" s="121" t="str">
        <x:v>CPU Mega List（最終更新2026-07-11）から取得。スコアは投稿サンプルの更新で変動します。</x:v>
      </x:c>
    </x:row>
    <x:row r="135" ht="58" customHeight="1">
      <x:c r="A135" t="str">
        <x:v>intel-core-i5-14500-official</x:v>
      </x:c>
      <x:c r="B135" t="str">
        <x:v>intel-core-i5-14500</x:v>
      </x:c>
      <x:c r="C135" t="str">
        <x:v>manufacturer</x:v>
      </x:c>
      <x:c r="D135" s="121" t="str">
        <x:v>Intel Core i5-14500 公式仕様・発売情報</x:v>
      </x:c>
      <x:c r="E135" s="121" t="str">
        <x:v>https://www.intel.com/content/www/us/en/products/sku/236784/intel-core-i5-processor-14500-24m-cache-up-to-5-00-ghz.html</x:v>
      </x:c>
      <x:c r="F135" s="125" t="n">
        <x:v>46218</x:v>
      </x:c>
      <x:c r="G135" s="121" t="str">
        <x:v>specs.socket
specs.cores
specs.threads
specs.architecture
specs.release_date
specs.launch_period
specs.generation</x:v>
      </x:c>
      <x:c r="H135" s="121" t="str">
        <x:v>Codex</x:v>
      </x:c>
      <x:c r="I135" s="121" t="str">
        <x:v>発売日は公式の一般販売開始日を優先。日付を特定できない場合はlaunch_periodと精度のみ登録。</x:v>
      </x:c>
    </x:row>
    <x:row r="136" ht="58" customHeight="1">
      <x:c r="A136" t="str">
        <x:v>intel-core-i5-14500-passmark</x:v>
      </x:c>
      <x:c r="B136" t="str">
        <x:v>intel-core-i5-14500</x:v>
      </x:c>
      <x:c r="C136" t="str">
        <x:v>technical_database</x:v>
      </x:c>
      <x:c r="D136" s="121" t="str">
        <x:v>Intel Core i5-14500 PassMark benchmark</x:v>
      </x:c>
      <x:c r="E136" s="121" t="str">
        <x:v>https://www.cpubenchmark.net/cpu_lookup.php?cpu=Intel+Core+i5-14500&amp;id=5835</x:v>
      </x:c>
      <x:c r="F136" s="125" t="n">
        <x:v>46218</x:v>
      </x:c>
      <x:c r="G136" s="121" t="str">
        <x:v>specs.passmark_cpu_mark
specs.passmark_single_thread_mark
specs.passmark_checked_at
specs.tdp_w</x:v>
      </x:c>
      <x:c r="H136" s="121" t="str">
        <x:v>Codex</x:v>
      </x:c>
      <x:c r="I136" s="121" t="str">
        <x:v>CPU Mega List（最終更新2026-07-11）から取得。スコアは投稿サンプルの更新で変動します。</x:v>
      </x:c>
    </x:row>
    <x:row r="137" ht="58" customHeight="1">
      <x:c r="A137" t="str">
        <x:v>intel-core-i5-14600-official</x:v>
      </x:c>
      <x:c r="B137" t="str">
        <x:v>intel-core-i5-14600</x:v>
      </x:c>
      <x:c r="C137" t="str">
        <x:v>manufacturer</x:v>
      </x:c>
      <x:c r="D137" s="121" t="str">
        <x:v>Intel Core i5-14600 公式仕様・発売情報</x:v>
      </x:c>
      <x:c r="E137" s="121" t="str">
        <x:v>https://www.intel.com/content/www/us/en/products/sku/236845/intel-core-i5-processor-14600-24m-cache-up-to-5-20-ghz.html</x:v>
      </x:c>
      <x:c r="F137" s="125" t="n">
        <x:v>46218</x:v>
      </x:c>
      <x:c r="G137" s="121" t="str">
        <x:v>specs.socket
specs.cores
specs.threads
specs.architecture
specs.release_date
specs.launch_period
specs.generation</x:v>
      </x:c>
      <x:c r="H137" s="121" t="str">
        <x:v>Codex</x:v>
      </x:c>
      <x:c r="I137" s="121" t="str">
        <x:v>発売日は公式の一般販売開始日を優先。日付を特定できない場合はlaunch_periodと精度のみ登録。</x:v>
      </x:c>
    </x:row>
    <x:row r="138" ht="58" customHeight="1">
      <x:c r="A138" t="str">
        <x:v>intel-core-i5-14600-passmark</x:v>
      </x:c>
      <x:c r="B138" t="str">
        <x:v>intel-core-i5-14600</x:v>
      </x:c>
      <x:c r="C138" t="str">
        <x:v>technical_database</x:v>
      </x:c>
      <x:c r="D138" s="121" t="str">
        <x:v>Intel Core i5-14600 PassMark benchmark</x:v>
      </x:c>
      <x:c r="E138" s="121" t="str">
        <x:v>https://www.cpubenchmark.net/cpu_lookup.php?cpu=Intel+Core+i5-14600&amp;id=5865</x:v>
      </x:c>
      <x:c r="F138" s="125" t="n">
        <x:v>46218</x:v>
      </x:c>
      <x:c r="G138" s="121" t="str">
        <x:v>specs.passmark_cpu_mark
specs.passmark_single_thread_mark
specs.passmark_checked_at
specs.tdp_w</x:v>
      </x:c>
      <x:c r="H138" s="121" t="str">
        <x:v>Codex</x:v>
      </x:c>
      <x:c r="I138" s="121" t="str">
        <x:v>CPU Mega List（最終更新2026-07-11）から取得。スコアは投稿サンプルの更新で変動します。</x:v>
      </x:c>
    </x:row>
    <x:row r="139" ht="58" customHeight="1">
      <x:c r="A139" t="str">
        <x:v>intel-core-i5-14600k-official</x:v>
      </x:c>
      <x:c r="B139" t="str">
        <x:v>intel-core-i5-14600k</x:v>
      </x:c>
      <x:c r="C139" t="str">
        <x:v>manufacturer</x:v>
      </x:c>
      <x:c r="D139" s="121" t="str">
        <x:v>Intel Core i5-14600K 公式仕様・発売情報</x:v>
      </x:c>
      <x:c r="E139" s="121" t="str">
        <x:v>https://www.intel.com/content/www/us/en/products/sku/236799/intel-core-i5-processor-14600k-24m-cache-up-to-5-30-ghz.html</x:v>
      </x:c>
      <x:c r="F139" s="125" t="n">
        <x:v>46218</x:v>
      </x:c>
      <x:c r="G139" s="121" t="str">
        <x:v>specs.socket
specs.cores
specs.threads
specs.architecture
specs.release_date
specs.launch_period
specs.generation</x:v>
      </x:c>
      <x:c r="H139" s="121" t="str">
        <x:v>Codex</x:v>
      </x:c>
      <x:c r="I139" s="121" t="str">
        <x:v>発売日は公式の一般販売開始日を優先。日付を特定できない場合はlaunch_periodと精度のみ登録。</x:v>
      </x:c>
    </x:row>
    <x:row r="140" ht="58" customHeight="1">
      <x:c r="A140" t="str">
        <x:v>intel-core-i5-14600k-passmark</x:v>
      </x:c>
      <x:c r="B140" t="str">
        <x:v>intel-core-i5-14600k</x:v>
      </x:c>
      <x:c r="C140" t="str">
        <x:v>technical_database</x:v>
      </x:c>
      <x:c r="D140" s="121" t="str">
        <x:v>Intel Core i5-14600K PassMark benchmark</x:v>
      </x:c>
      <x:c r="E140" s="121" t="str">
        <x:v>https://www.cpubenchmark.net/cpu_lookup.php?cpu=Intel+Core+i5-14600K&amp;id=5720</x:v>
      </x:c>
      <x:c r="F140" s="125" t="n">
        <x:v>46218</x:v>
      </x:c>
      <x:c r="G140" s="121" t="str">
        <x:v>specs.passmark_cpu_mark
specs.passmark_single_thread_mark
specs.passmark_checked_at
specs.tdp_w</x:v>
      </x:c>
      <x:c r="H140" s="121" t="str">
        <x:v>Codex</x:v>
      </x:c>
      <x:c r="I140" s="121" t="str">
        <x:v>CPU Mega List（最終更新2026-07-11）から取得。スコアは投稿サンプルの更新で変動します。</x:v>
      </x:c>
    </x:row>
    <x:row r="141" ht="58" customHeight="1">
      <x:c r="A141" t="str">
        <x:v>intel-core-i5-14600kf-official</x:v>
      </x:c>
      <x:c r="B141" t="str">
        <x:v>intel-core-i5-14600kf</x:v>
      </x:c>
      <x:c r="C141" t="str">
        <x:v>manufacturer</x:v>
      </x:c>
      <x:c r="D141" s="121" t="str">
        <x:v>Intel Core i5-14600KF 公式仕様・発売情報</x:v>
      </x:c>
      <x:c r="E141" s="121" t="str">
        <x:v>https://www.intel.com/content/www/us/en/products/sku/236778/intel-core-i5-processor-14600kf-24m-cache-up-to-5-30-ghz.html</x:v>
      </x:c>
      <x:c r="F141" s="125" t="n">
        <x:v>46218</x:v>
      </x:c>
      <x:c r="G141" s="121" t="str">
        <x:v>specs.socket
specs.cores
specs.threads
specs.architecture
specs.release_date
specs.launch_period
specs.generation</x:v>
      </x:c>
      <x:c r="H141" s="121" t="str">
        <x:v>Codex</x:v>
      </x:c>
      <x:c r="I141" s="121" t="str">
        <x:v>発売日は公式の一般販売開始日を優先。日付を特定できない場合はlaunch_periodと精度のみ登録。</x:v>
      </x:c>
    </x:row>
    <x:row r="142" ht="58" customHeight="1">
      <x:c r="A142" t="str">
        <x:v>intel-core-i5-14600kf-passmark</x:v>
      </x:c>
      <x:c r="B142" t="str">
        <x:v>intel-core-i5-14600kf</x:v>
      </x:c>
      <x:c r="C142" t="str">
        <x:v>technical_database</x:v>
      </x:c>
      <x:c r="D142" s="121" t="str">
        <x:v>Intel Core i5-14600KF PassMark benchmark</x:v>
      </x:c>
      <x:c r="E142" s="121" t="str">
        <x:v>https://www.cpubenchmark.net/cpu_lookup.php?cpu=Intel+Core+i5-14600KF&amp;id=5722</x:v>
      </x:c>
      <x:c r="F142" s="125" t="n">
        <x:v>46218</x:v>
      </x:c>
      <x:c r="G142" s="121" t="str">
        <x:v>specs.passmark_cpu_mark
specs.passmark_single_thread_mark
specs.passmark_checked_at
specs.tdp_w</x:v>
      </x:c>
      <x:c r="H142" s="121" t="str">
        <x:v>Codex</x:v>
      </x:c>
      <x:c r="I142" s="121" t="str">
        <x:v>CPU Mega List（最終更新2026-07-11）から取得。スコアは投稿サンプルの更新で変動します。</x:v>
      </x:c>
    </x:row>
    <x:row r="143" ht="58" customHeight="1">
      <x:c r="A143" t="str">
        <x:v>intel-core-i7-12700-official</x:v>
      </x:c>
      <x:c r="B143" t="str">
        <x:v>intel-core-i7-12700</x:v>
      </x:c>
      <x:c r="C143" t="str">
        <x:v>manufacturer</x:v>
      </x:c>
      <x:c r="D143" s="121" t="str">
        <x:v>Intel Core i7-12700 公式仕様・発売情報</x:v>
      </x:c>
      <x:c r="E143" s="121" t="str">
        <x:v>https://www.intel.com/content/www/us/en/products/sku/134591/intel-core-i712700-processor-25m-cache-up-to-4-90-ghz.html</x:v>
      </x:c>
      <x:c r="F143" s="125" t="n">
        <x:v>46218</x:v>
      </x:c>
      <x:c r="G143" s="121" t="str">
        <x:v>specs.socket
specs.cores
specs.threads
specs.architecture
specs.release_date
specs.launch_period
specs.generation</x:v>
      </x:c>
      <x:c r="H143" s="121" t="str">
        <x:v>Codex</x:v>
      </x:c>
      <x:c r="I143" s="121" t="str">
        <x:v>発売日は公式の一般販売開始日を優先。日付を特定できない場合はlaunch_periodと精度のみ登録。</x:v>
      </x:c>
    </x:row>
    <x:row r="144" ht="58" customHeight="1">
      <x:c r="A144" t="str">
        <x:v>intel-core-i7-12700-passmark</x:v>
      </x:c>
      <x:c r="B144" t="str">
        <x:v>intel-core-i7-12700</x:v>
      </x:c>
      <x:c r="C144" t="str">
        <x:v>technical_database</x:v>
      </x:c>
      <x:c r="D144" s="121" t="str">
        <x:v>Intel Core i7-12700 PassMark benchmark</x:v>
      </x:c>
      <x:c r="E144" s="121" t="str">
        <x:v>https://www.cpubenchmark.net/cpu_lookup.php?cpu=Intel+Core+i7-12700&amp;id=4669</x:v>
      </x:c>
      <x:c r="F144" s="125" t="n">
        <x:v>46218</x:v>
      </x:c>
      <x:c r="G144" s="121" t="str">
        <x:v>specs.passmark_cpu_mark
specs.passmark_single_thread_mark
specs.passmark_checked_at
specs.tdp_w</x:v>
      </x:c>
      <x:c r="H144" s="121" t="str">
        <x:v>Codex</x:v>
      </x:c>
      <x:c r="I144" s="121" t="str">
        <x:v>CPU Mega List（最終更新2026-07-11）から取得。スコアは投稿サンプルの更新で変動します。</x:v>
      </x:c>
    </x:row>
    <x:row r="145" ht="58" customHeight="1">
      <x:c r="A145" t="str">
        <x:v>intel-core-i7-12700f-official</x:v>
      </x:c>
      <x:c r="B145" t="str">
        <x:v>intel-core-i7-12700f</x:v>
      </x:c>
      <x:c r="C145" t="str">
        <x:v>manufacturer</x:v>
      </x:c>
      <x:c r="D145" s="121" t="str">
        <x:v>Intel Core i7-12700F 公式仕様・発売情報</x:v>
      </x:c>
      <x:c r="E145" s="121" t="str">
        <x:v>https://www.intel.com/content/www/us/en/products/sku/134592/intel-core-i712700f-processor-25m-cache-up-to-4-90-ghz.html</x:v>
      </x:c>
      <x:c r="F145" s="125" t="n">
        <x:v>46218</x:v>
      </x:c>
      <x:c r="G145" s="121" t="str">
        <x:v>specs.socket
specs.cores
specs.threads
specs.architecture
specs.release_date
specs.launch_period
specs.generation</x:v>
      </x:c>
      <x:c r="H145" s="121" t="str">
        <x:v>Codex</x:v>
      </x:c>
      <x:c r="I145" s="121" t="str">
        <x:v>発売日は公式の一般販売開始日を優先。日付を特定できない場合はlaunch_periodと精度のみ登録。</x:v>
      </x:c>
    </x:row>
    <x:row r="146" ht="58" customHeight="1">
      <x:c r="A146" t="str">
        <x:v>intel-core-i7-12700f-passmark</x:v>
      </x:c>
      <x:c r="B146" t="str">
        <x:v>intel-core-i7-12700f</x:v>
      </x:c>
      <x:c r="C146" t="str">
        <x:v>technical_database</x:v>
      </x:c>
      <x:c r="D146" s="121" t="str">
        <x:v>Intel Core i7-12700F PassMark benchmark</x:v>
      </x:c>
      <x:c r="E146" s="121" t="str">
        <x:v>https://www.cpubenchmark.net/cpu_lookup.php?cpu=Intel+Core+i7-12700F&amp;id=4692</x:v>
      </x:c>
      <x:c r="F146" s="125" t="n">
        <x:v>46218</x:v>
      </x:c>
      <x:c r="G146" s="121" t="str">
        <x:v>specs.passmark_cpu_mark
specs.passmark_single_thread_mark
specs.passmark_checked_at
specs.tdp_w</x:v>
      </x:c>
      <x:c r="H146" s="121" t="str">
        <x:v>Codex</x:v>
      </x:c>
      <x:c r="I146" s="121" t="str">
        <x:v>CPU Mega List（最終更新2026-07-11）から取得。スコアは投稿サンプルの更新で変動します。</x:v>
      </x:c>
    </x:row>
    <x:row r="147" ht="58" customHeight="1">
      <x:c r="A147" t="str">
        <x:v>intel-core-i7-12700k-official</x:v>
      </x:c>
      <x:c r="B147" t="str">
        <x:v>intel-core-i7-12700k</x:v>
      </x:c>
      <x:c r="C147" t="str">
        <x:v>manufacturer</x:v>
      </x:c>
      <x:c r="D147" s="121" t="str">
        <x:v>Intel Core i7-12700K 公式仕様・発売情報</x:v>
      </x:c>
      <x:c r="E147" s="121" t="str">
        <x:v>https://www.intel.com/content/www/us/en/products/sku/134594/intel-core-i712700k-processor-25m-cache-up-to-5-00-ghz.html</x:v>
      </x:c>
      <x:c r="F147" s="125" t="n">
        <x:v>46218</x:v>
      </x:c>
      <x:c r="G147" s="121" t="str">
        <x:v>specs.socket
specs.cores
specs.threads
specs.architecture
specs.release_date
specs.launch_period
specs.generation</x:v>
      </x:c>
      <x:c r="H147" s="121" t="str">
        <x:v>Codex</x:v>
      </x:c>
      <x:c r="I147" s="121" t="str">
        <x:v>発売日は公式の一般販売開始日を優先。日付を特定できない場合はlaunch_periodと精度のみ登録。</x:v>
      </x:c>
    </x:row>
    <x:row r="148" ht="58" customHeight="1">
      <x:c r="A148" t="str">
        <x:v>intel-core-i7-12700k-passmark</x:v>
      </x:c>
      <x:c r="B148" t="str">
        <x:v>intel-core-i7-12700k</x:v>
      </x:c>
      <x:c r="C148" t="str">
        <x:v>technical_database</x:v>
      </x:c>
      <x:c r="D148" s="121" t="str">
        <x:v>Intel Core i7-12700K PassMark benchmark</x:v>
      </x:c>
      <x:c r="E148" s="121" t="str">
        <x:v>https://www.cpubenchmark.net/cpu_lookup.php?cpu=Intel+Core+i7-12700K&amp;id=4609</x:v>
      </x:c>
      <x:c r="F148" s="125" t="n">
        <x:v>46218</x:v>
      </x:c>
      <x:c r="G148" s="121" t="str">
        <x:v>specs.passmark_cpu_mark
specs.passmark_single_thread_mark
specs.passmark_checked_at
specs.tdp_w</x:v>
      </x:c>
      <x:c r="H148" s="121" t="str">
        <x:v>Codex</x:v>
      </x:c>
      <x:c r="I148" s="121" t="str">
        <x:v>CPU Mega List（最終更新2026-07-11）から取得。スコアは投稿サンプルの更新で変動します。</x:v>
      </x:c>
    </x:row>
    <x:row r="149" ht="58" customHeight="1">
      <x:c r="A149" t="str">
        <x:v>intel-core-i7-12700kf-official</x:v>
      </x:c>
      <x:c r="B149" t="str">
        <x:v>intel-core-i7-12700kf</x:v>
      </x:c>
      <x:c r="C149" t="str">
        <x:v>manufacturer</x:v>
      </x:c>
      <x:c r="D149" s="121" t="str">
        <x:v>Intel Core i7-12700KF 公式仕様・発売情報</x:v>
      </x:c>
      <x:c r="E149" s="121" t="str">
        <x:v>https://www.intel.com/content/www/us/en/products/sku/134595/intel-core-i712700kf-processor-25m-cache-up-to-5-00-ghz.html</x:v>
      </x:c>
      <x:c r="F149" s="125" t="n">
        <x:v>46218</x:v>
      </x:c>
      <x:c r="G149" s="121" t="str">
        <x:v>specs.socket
specs.cores
specs.threads
specs.architecture
specs.release_date
specs.launch_period
specs.generation</x:v>
      </x:c>
      <x:c r="H149" s="121" t="str">
        <x:v>Codex</x:v>
      </x:c>
      <x:c r="I149" s="121" t="str">
        <x:v>発売日は公式の一般販売開始日を優先。日付を特定できない場合はlaunch_periodと精度のみ登録。</x:v>
      </x:c>
    </x:row>
    <x:row r="150" ht="58" customHeight="1">
      <x:c r="A150" t="str">
        <x:v>intel-core-i7-12700kf-passmark</x:v>
      </x:c>
      <x:c r="B150" t="str">
        <x:v>intel-core-i7-12700kf</x:v>
      </x:c>
      <x:c r="C150" t="str">
        <x:v>technical_database</x:v>
      </x:c>
      <x:c r="D150" s="121" t="str">
        <x:v>Intel Core i7-12700KF PassMark benchmark</x:v>
      </x:c>
      <x:c r="E150" s="121" t="str">
        <x:v>https://www.cpubenchmark.net/cpu_lookup.php?cpu=Intel+Core+i7-12700KF&amp;id=4608</x:v>
      </x:c>
      <x:c r="F150" s="125" t="n">
        <x:v>46218</x:v>
      </x:c>
      <x:c r="G150" s="121" t="str">
        <x:v>specs.passmark_cpu_mark
specs.passmark_single_thread_mark
specs.passmark_checked_at
specs.tdp_w</x:v>
      </x:c>
      <x:c r="H150" s="121" t="str">
        <x:v>Codex</x:v>
      </x:c>
      <x:c r="I150" s="121" t="str">
        <x:v>CPU Mega List（最終更新2026-07-11）から取得。スコアは投稿サンプルの更新で変動します。</x:v>
      </x:c>
    </x:row>
    <x:row r="151" ht="58" customHeight="1">
      <x:c r="A151" t="str">
        <x:v>intel-core-i7-13700-official</x:v>
      </x:c>
      <x:c r="B151" t="str">
        <x:v>intel-core-i7-13700</x:v>
      </x:c>
      <x:c r="C151" t="str">
        <x:v>manufacturer</x:v>
      </x:c>
      <x:c r="D151" s="121" t="str">
        <x:v>Intel Core i7-13700 公式仕様・発売情報</x:v>
      </x:c>
      <x:c r="E151" s="121" t="str">
        <x:v>https://www.intel.com/content/www/us/en/products/sku/230490/intel-core-i713700-processor-30m-cache-up-to-5-20-ghz.html</x:v>
      </x:c>
      <x:c r="F151" s="125" t="n">
        <x:v>46218</x:v>
      </x:c>
      <x:c r="G151" s="121" t="str">
        <x:v>specs.socket
specs.cores
specs.threads
specs.architecture
specs.release_date
specs.launch_period
specs.generation</x:v>
      </x:c>
      <x:c r="H151" s="121" t="str">
        <x:v>Codex</x:v>
      </x:c>
      <x:c r="I151" s="121" t="str">
        <x:v>発売日は公式の一般販売開始日を優先。日付を特定できない場合はlaunch_periodと精度のみ登録。</x:v>
      </x:c>
    </x:row>
    <x:row r="152" ht="58" customHeight="1">
      <x:c r="A152" t="str">
        <x:v>intel-core-i7-13700-passmark</x:v>
      </x:c>
      <x:c r="B152" t="str">
        <x:v>intel-core-i7-13700</x:v>
      </x:c>
      <x:c r="C152" t="str">
        <x:v>technical_database</x:v>
      </x:c>
      <x:c r="D152" s="121" t="str">
        <x:v>Intel Core i7-13700 PassMark benchmark</x:v>
      </x:c>
      <x:c r="E152" s="121" t="str">
        <x:v>https://www.cpubenchmark.net/cpu_lookup.php?cpu=Intel+Core+i7-13700&amp;id=4992</x:v>
      </x:c>
      <x:c r="F152" s="125" t="n">
        <x:v>46218</x:v>
      </x:c>
      <x:c r="G152" s="121" t="str">
        <x:v>specs.passmark_cpu_mark
specs.passmark_single_thread_mark
specs.passmark_checked_at
specs.tdp_w</x:v>
      </x:c>
      <x:c r="H152" s="121" t="str">
        <x:v>Codex</x:v>
      </x:c>
      <x:c r="I152" s="121" t="str">
        <x:v>CPU Mega List（最終更新2026-07-11）から取得。スコアは投稿サンプルの更新で変動します。</x:v>
      </x:c>
    </x:row>
    <x:row r="153" ht="58" customHeight="1">
      <x:c r="A153" t="str">
        <x:v>intel-core-i7-13700f-official</x:v>
      </x:c>
      <x:c r="B153" t="str">
        <x:v>intel-core-i7-13700f</x:v>
      </x:c>
      <x:c r="C153" t="str">
        <x:v>manufacturer</x:v>
      </x:c>
      <x:c r="D153" s="121" t="str">
        <x:v>Intel Core i7-13700F 公式仕様・発売情報</x:v>
      </x:c>
      <x:c r="E153" s="121" t="str">
        <x:v>https://www.intel.com/content/www/us/en/products/sku/230491/intel-core-i713700f-processor-30m-cache-up-to-5-20-ghz.html</x:v>
      </x:c>
      <x:c r="F153" s="125" t="n">
        <x:v>46218</x:v>
      </x:c>
      <x:c r="G153" s="121" t="str">
        <x:v>specs.socket
specs.cores
specs.threads
specs.architecture
specs.release_date
specs.launch_period
specs.generation</x:v>
      </x:c>
      <x:c r="H153" s="121" t="str">
        <x:v>Codex</x:v>
      </x:c>
      <x:c r="I153" s="121" t="str">
        <x:v>発売日は公式の一般販売開始日を優先。日付を特定できない場合はlaunch_periodと精度のみ登録。</x:v>
      </x:c>
    </x:row>
    <x:row r="154" ht="58" customHeight="1">
      <x:c r="A154" t="str">
        <x:v>intel-core-i7-13700f-passmark</x:v>
      </x:c>
      <x:c r="B154" t="str">
        <x:v>intel-core-i7-13700f</x:v>
      </x:c>
      <x:c r="C154" t="str">
        <x:v>technical_database</x:v>
      </x:c>
      <x:c r="D154" s="121" t="str">
        <x:v>Intel Core i7-13700F PassMark benchmark</x:v>
      </x:c>
      <x:c r="E154" s="121" t="str">
        <x:v>https://www.cpubenchmark.net/cpu_lookup.php?cpu=Intel+Core+i7-13700F&amp;id=5163</x:v>
      </x:c>
      <x:c r="F154" s="125" t="n">
        <x:v>46218</x:v>
      </x:c>
      <x:c r="G154" s="121" t="str">
        <x:v>specs.passmark_cpu_mark
specs.passmark_single_thread_mark
specs.passmark_checked_at
specs.tdp_w</x:v>
      </x:c>
      <x:c r="H154" s="121" t="str">
        <x:v>Codex</x:v>
      </x:c>
      <x:c r="I154" s="121" t="str">
        <x:v>CPU Mega List（最終更新2026-07-11）から取得。スコアは投稿サンプルの更新で変動します。</x:v>
      </x:c>
    </x:row>
    <x:row r="155" ht="58" customHeight="1">
      <x:c r="A155" t="str">
        <x:v>intel-core-i7-13700k-official</x:v>
      </x:c>
      <x:c r="B155" t="str">
        <x:v>intel-core-i7-13700k</x:v>
      </x:c>
      <x:c r="C155" t="str">
        <x:v>manufacturer</x:v>
      </x:c>
      <x:c r="D155" s="121" t="str">
        <x:v>Intel Core i7-13700K 公式仕様・発売情報</x:v>
      </x:c>
      <x:c r="E155" s="121" t="str">
        <x:v>https://www.intel.com/content/www/us/en/products/sku/230500/intel-core-i713700k-processor-30m-cache-up-to-5-40-ghz.html</x:v>
      </x:c>
      <x:c r="F155" s="125" t="n">
        <x:v>46218</x:v>
      </x:c>
      <x:c r="G155" s="121" t="str">
        <x:v>specs.socket
specs.cores
specs.threads
specs.architecture
specs.release_date
specs.launch_period
specs.generation</x:v>
      </x:c>
      <x:c r="H155" s="121" t="str">
        <x:v>Codex</x:v>
      </x:c>
      <x:c r="I155" s="121" t="str">
        <x:v>発売日は公式の一般販売開始日を優先。日付を特定できない場合はlaunch_periodと精度のみ登録。</x:v>
      </x:c>
    </x:row>
    <x:row r="156" ht="58" customHeight="1">
      <x:c r="A156" t="str">
        <x:v>intel-core-i7-13700k-passmark</x:v>
      </x:c>
      <x:c r="B156" t="str">
        <x:v>intel-core-i7-13700k</x:v>
      </x:c>
      <x:c r="C156" t="str">
        <x:v>technical_database</x:v>
      </x:c>
      <x:c r="D156" s="121" t="str">
        <x:v>Intel Core i7-13700K PassMark benchmark</x:v>
      </x:c>
      <x:c r="E156" s="121" t="str">
        <x:v>https://www.cpubenchmark.net/cpu_lookup.php?cpu=Intel+Core+i7-13700K&amp;id=5060</x:v>
      </x:c>
      <x:c r="F156" s="125" t="n">
        <x:v>46218</x:v>
      </x:c>
      <x:c r="G156" s="121" t="str">
        <x:v>specs.passmark_cpu_mark
specs.passmark_single_thread_mark
specs.passmark_checked_at
specs.tdp_w</x:v>
      </x:c>
      <x:c r="H156" s="121" t="str">
        <x:v>Codex</x:v>
      </x:c>
      <x:c r="I156" s="121" t="str">
        <x:v>CPU Mega List（最終更新2026-07-11）から取得。スコアは投稿サンプルの更新で変動します。</x:v>
      </x:c>
    </x:row>
    <x:row r="157" ht="58" customHeight="1">
      <x:c r="A157" t="str">
        <x:v>intel-core-i7-13700kf-official</x:v>
      </x:c>
      <x:c r="B157" t="str">
        <x:v>intel-core-i7-13700kf</x:v>
      </x:c>
      <x:c r="C157" t="str">
        <x:v>manufacturer</x:v>
      </x:c>
      <x:c r="D157" s="121" t="str">
        <x:v>Intel Core i7-13700KF 公式仕様・発売情報</x:v>
      </x:c>
      <x:c r="E157" s="121" t="str">
        <x:v>https://www.intel.com/content/www/us/en/products/sku/230489/intel-core-i713700kf-processor-30m-cache-up-to-5-40-ghz.html</x:v>
      </x:c>
      <x:c r="F157" s="125" t="n">
        <x:v>46218</x:v>
      </x:c>
      <x:c r="G157" s="121" t="str">
        <x:v>specs.socket
specs.cores
specs.threads
specs.architecture
specs.release_date
specs.launch_period
specs.generation</x:v>
      </x:c>
      <x:c r="H157" s="121" t="str">
        <x:v>Codex</x:v>
      </x:c>
      <x:c r="I157" s="121" t="str">
        <x:v>発売日は公式の一般販売開始日を優先。日付を特定できない場合はlaunch_periodと精度のみ登録。</x:v>
      </x:c>
    </x:row>
    <x:row r="158" ht="58" customHeight="1">
      <x:c r="A158" t="str">
        <x:v>intel-core-i7-13700kf-passmark</x:v>
      </x:c>
      <x:c r="B158" t="str">
        <x:v>intel-core-i7-13700kf</x:v>
      </x:c>
      <x:c r="C158" t="str">
        <x:v>technical_database</x:v>
      </x:c>
      <x:c r="D158" s="121" t="str">
        <x:v>Intel Core i7-13700KF PassMark benchmark</x:v>
      </x:c>
      <x:c r="E158" s="121" t="str">
        <x:v>https://www.cpubenchmark.net/cpu_lookup.php?cpu=Intel+Core+i7-13700KF&amp;id=5061</x:v>
      </x:c>
      <x:c r="F158" s="125" t="n">
        <x:v>46218</x:v>
      </x:c>
      <x:c r="G158" s="121" t="str">
        <x:v>specs.passmark_cpu_mark
specs.passmark_single_thread_mark
specs.passmark_checked_at
specs.tdp_w</x:v>
      </x:c>
      <x:c r="H158" s="121" t="str">
        <x:v>Codex</x:v>
      </x:c>
      <x:c r="I158" s="121" t="str">
        <x:v>CPU Mega List（最終更新2026-07-11）から取得。スコアは投稿サンプルの更新で変動します。</x:v>
      </x:c>
    </x:row>
    <x:row r="159" ht="58" customHeight="1">
      <x:c r="A159" t="str">
        <x:v>intel-core-i7-14700-official</x:v>
      </x:c>
      <x:c r="B159" t="str">
        <x:v>intel-core-i7-14700</x:v>
      </x:c>
      <x:c r="C159" t="str">
        <x:v>manufacturer</x:v>
      </x:c>
      <x:c r="D159" s="121" t="str">
        <x:v>Intel Core i7-14700 公式仕様・発売情報</x:v>
      </x:c>
      <x:c r="E159" s="121" t="str">
        <x:v>https://www.intel.com/content/www/us/en/products/sku/236781/intel-core-i7-processor-14700-33m-cache-up-to-5-40-ghz.html</x:v>
      </x:c>
      <x:c r="F159" s="125" t="n">
        <x:v>46218</x:v>
      </x:c>
      <x:c r="G159" s="121" t="str">
        <x:v>specs.socket
specs.cores
specs.threads
specs.architecture
specs.release_date
specs.launch_period
specs.generation</x:v>
      </x:c>
      <x:c r="H159" s="121" t="str">
        <x:v>Codex</x:v>
      </x:c>
      <x:c r="I159" s="121" t="str">
        <x:v>発売日は公式の一般販売開始日を優先。日付を特定できない場合はlaunch_periodと精度のみ登録。</x:v>
      </x:c>
    </x:row>
    <x:row r="160" ht="58" customHeight="1">
      <x:c r="A160" t="str">
        <x:v>intel-core-i7-14700-passmark</x:v>
      </x:c>
      <x:c r="B160" t="str">
        <x:v>intel-core-i7-14700</x:v>
      </x:c>
      <x:c r="C160" t="str">
        <x:v>technical_database</x:v>
      </x:c>
      <x:c r="D160" s="121" t="str">
        <x:v>Intel Core i7-14700 PassMark benchmark</x:v>
      </x:c>
      <x:c r="E160" s="121" t="str">
        <x:v>https://www.cpubenchmark.net/cpu_lookup.php?cpu=Intel+Core+i7-14700&amp;id=5852</x:v>
      </x:c>
      <x:c r="F160" s="125" t="n">
        <x:v>46218</x:v>
      </x:c>
      <x:c r="G160" s="121" t="str">
        <x:v>specs.passmark_cpu_mark
specs.passmark_single_thread_mark
specs.passmark_checked_at
specs.tdp_w</x:v>
      </x:c>
      <x:c r="H160" s="121" t="str">
        <x:v>Codex</x:v>
      </x:c>
      <x:c r="I160" s="121" t="str">
        <x:v>CPU Mega List（最終更新2026-07-11）から取得。スコアは投稿サンプルの更新で変動します。</x:v>
      </x:c>
    </x:row>
    <x:row r="161" ht="58" customHeight="1">
      <x:c r="A161" t="str">
        <x:v>intel-core-i7-14700f-official</x:v>
      </x:c>
      <x:c r="B161" t="str">
        <x:v>intel-core-i7-14700f</x:v>
      </x:c>
      <x:c r="C161" t="str">
        <x:v>manufacturer</x:v>
      </x:c>
      <x:c r="D161" s="121" t="str">
        <x:v>Intel Core i7-14700F 公式仕様・発売情報</x:v>
      </x:c>
      <x:c r="E161" s="121" t="str">
        <x:v>https://www.intel.com/content/www/us/en/products/sku/236854/intel-core-i7-processor-14700f-33m-cache-up-to-5-40-ghz.html</x:v>
      </x:c>
      <x:c r="F161" s="125" t="n">
        <x:v>46218</x:v>
      </x:c>
      <x:c r="G161" s="121" t="str">
        <x:v>specs.socket
specs.cores
specs.threads
specs.architecture
specs.release_date
specs.launch_period
specs.generation</x:v>
      </x:c>
      <x:c r="H161" s="121" t="str">
        <x:v>Codex</x:v>
      </x:c>
      <x:c r="I161" s="121" t="str">
        <x:v>発売日は公式の一般販売開始日を優先。日付を特定できない場合はlaunch_periodと精度のみ登録。</x:v>
      </x:c>
    </x:row>
    <x:row r="162" ht="58" customHeight="1">
      <x:c r="A162" t="str">
        <x:v>intel-core-i7-14700f-passmark</x:v>
      </x:c>
      <x:c r="B162" t="str">
        <x:v>intel-core-i7-14700f</x:v>
      </x:c>
      <x:c r="C162" t="str">
        <x:v>technical_database</x:v>
      </x:c>
      <x:c r="D162" s="121" t="str">
        <x:v>Intel Core i7-14700F PassMark benchmark</x:v>
      </x:c>
      <x:c r="E162" s="121" t="str">
        <x:v>https://www.cpubenchmark.net/cpu_lookup.php?cpu=Intel+Core+i7-14700F&amp;id=5834</x:v>
      </x:c>
      <x:c r="F162" s="125" t="n">
        <x:v>46218</x:v>
      </x:c>
      <x:c r="G162" s="121" t="str">
        <x:v>specs.passmark_cpu_mark
specs.passmark_single_thread_mark
specs.passmark_checked_at
specs.tdp_w</x:v>
      </x:c>
      <x:c r="H162" s="121" t="str">
        <x:v>Codex</x:v>
      </x:c>
      <x:c r="I162" s="121" t="str">
        <x:v>CPU Mega List（最終更新2026-07-11）から取得。スコアは投稿サンプルの更新で変動します。</x:v>
      </x:c>
    </x:row>
    <x:row r="163" ht="58" customHeight="1">
      <x:c r="A163" t="str">
        <x:v>intel-core-i7-14700k-official</x:v>
      </x:c>
      <x:c r="B163" t="str">
        <x:v>intel-core-i7-14700k</x:v>
      </x:c>
      <x:c r="C163" t="str">
        <x:v>manufacturer</x:v>
      </x:c>
      <x:c r="D163" s="121" t="str">
        <x:v>Intel Core i7-14700K 公式仕様・発売情報</x:v>
      </x:c>
      <x:c r="E163" s="121" t="str">
        <x:v>https://www.intel.com/content/www/us/en/products/sku/236783/intel-core-i7-processor-14700k-33m-cache-up-to-5-60-ghz.html</x:v>
      </x:c>
      <x:c r="F163" s="125" t="n">
        <x:v>46218</x:v>
      </x:c>
      <x:c r="G163" s="121" t="str">
        <x:v>specs.socket
specs.cores
specs.threads
specs.architecture
specs.release_date
specs.launch_period
specs.generation</x:v>
      </x:c>
      <x:c r="H163" s="121" t="str">
        <x:v>Codex</x:v>
      </x:c>
      <x:c r="I163" s="121" t="str">
        <x:v>発売日は公式の一般販売開始日を優先。日付を特定できない場合はlaunch_periodと精度のみ登録。</x:v>
      </x:c>
    </x:row>
    <x:row r="164" ht="58" customHeight="1">
      <x:c r="A164" t="str">
        <x:v>intel-core-i7-14700k-passmark</x:v>
      </x:c>
      <x:c r="B164" t="str">
        <x:v>intel-core-i7-14700k</x:v>
      </x:c>
      <x:c r="C164" t="str">
        <x:v>technical_database</x:v>
      </x:c>
      <x:c r="D164" s="121" t="str">
        <x:v>Intel Core i7-14700K PassMark benchmark</x:v>
      </x:c>
      <x:c r="E164" s="121" t="str">
        <x:v>https://www.cpubenchmark.net/cpu_lookup.php?cpu=Intel+Core+i7-14700K&amp;id=5719</x:v>
      </x:c>
      <x:c r="F164" s="125" t="n">
        <x:v>46218</x:v>
      </x:c>
      <x:c r="G164" s="121" t="str">
        <x:v>specs.passmark_cpu_mark
specs.passmark_single_thread_mark
specs.passmark_checked_at
specs.tdp_w</x:v>
      </x:c>
      <x:c r="H164" s="121" t="str">
        <x:v>Codex</x:v>
      </x:c>
      <x:c r="I164" s="121" t="str">
        <x:v>CPU Mega List（最終更新2026-07-11）から取得。スコアは投稿サンプルの更新で変動します。</x:v>
      </x:c>
    </x:row>
    <x:row r="165" ht="58" customHeight="1">
      <x:c r="A165" t="str">
        <x:v>intel-core-i7-14700kf-official</x:v>
      </x:c>
      <x:c r="B165" t="str">
        <x:v>intel-core-i7-14700kf</x:v>
      </x:c>
      <x:c r="C165" t="str">
        <x:v>manufacturer</x:v>
      </x:c>
      <x:c r="D165" s="121" t="str">
        <x:v>Intel Core i7-14700KF 公式仕様・発売情報</x:v>
      </x:c>
      <x:c r="E165" s="121" t="str">
        <x:v>https://www.intel.com/content/www/us/en/products/sku/236789/intel-core-i7-processor-14700kf-33m-cache-up-to-5-60-ghz.html</x:v>
      </x:c>
      <x:c r="F165" s="125" t="n">
        <x:v>46218</x:v>
      </x:c>
      <x:c r="G165" s="121" t="str">
        <x:v>specs.socket
specs.cores
specs.threads
specs.architecture
specs.release_date
specs.launch_period
specs.generation</x:v>
      </x:c>
      <x:c r="H165" s="121" t="str">
        <x:v>Codex</x:v>
      </x:c>
      <x:c r="I165" s="121" t="str">
        <x:v>発売日は公式の一般販売開始日を優先。日付を特定できない場合はlaunch_periodと精度のみ登録。</x:v>
      </x:c>
    </x:row>
    <x:row r="166" ht="58" customHeight="1">
      <x:c r="A166" t="str">
        <x:v>intel-core-i7-14700kf-passmark</x:v>
      </x:c>
      <x:c r="B166" t="str">
        <x:v>intel-core-i7-14700kf</x:v>
      </x:c>
      <x:c r="C166" t="str">
        <x:v>technical_database</x:v>
      </x:c>
      <x:c r="D166" s="121" t="str">
        <x:v>Intel Core i7-14700KF PassMark benchmark</x:v>
      </x:c>
      <x:c r="E166" s="121" t="str">
        <x:v>https://www.cpubenchmark.net/cpu_lookup.php?cpu=Intel+Core+i7-14700KF&amp;id=5723</x:v>
      </x:c>
      <x:c r="F166" s="125" t="n">
        <x:v>46218</x:v>
      </x:c>
      <x:c r="G166" s="121" t="str">
        <x:v>specs.passmark_cpu_mark
specs.passmark_single_thread_mark
specs.passmark_checked_at
specs.tdp_w</x:v>
      </x:c>
      <x:c r="H166" s="121" t="str">
        <x:v>Codex</x:v>
      </x:c>
      <x:c r="I166" s="121" t="str">
        <x:v>CPU Mega List（最終更新2026-07-11）から取得。スコアは投稿サンプルの更新で変動します。</x:v>
      </x:c>
    </x:row>
    <x:row r="167" ht="58" customHeight="1">
      <x:c r="A167" t="str">
        <x:v>intel-core-i9-12900-official</x:v>
      </x:c>
      <x:c r="B167" t="str">
        <x:v>intel-core-i9-12900</x:v>
      </x:c>
      <x:c r="C167" t="str">
        <x:v>manufacturer</x:v>
      </x:c>
      <x:c r="D167" s="121" t="str">
        <x:v>Intel Core i9-12900 公式仕様・発売情報</x:v>
      </x:c>
      <x:c r="E167" s="121" t="str">
        <x:v>https://www.intel.com/content/www/us/en/products/sku/134597/intel-core-i912900-processor-30m-cache-up-to-5-10-ghz.html</x:v>
      </x:c>
      <x:c r="F167" s="125" t="n">
        <x:v>46218</x:v>
      </x:c>
      <x:c r="G167" s="121" t="str">
        <x:v>specs.socket
specs.cores
specs.threads
specs.architecture
specs.release_date
specs.launch_period
specs.generation</x:v>
      </x:c>
      <x:c r="H167" s="121" t="str">
        <x:v>Codex</x:v>
      </x:c>
      <x:c r="I167" s="121" t="str">
        <x:v>発売日は公式の一般販売開始日を優先。日付を特定できない場合はlaunch_periodと精度のみ登録。</x:v>
      </x:c>
    </x:row>
    <x:row r="168" ht="58" customHeight="1">
      <x:c r="A168" t="str">
        <x:v>intel-core-i9-12900-passmark</x:v>
      </x:c>
      <x:c r="B168" t="str">
        <x:v>intel-core-i9-12900</x:v>
      </x:c>
      <x:c r="C168" t="str">
        <x:v>technical_database</x:v>
      </x:c>
      <x:c r="D168" s="121" t="str">
        <x:v>Intel Core i9-12900 PassMark benchmark</x:v>
      </x:c>
      <x:c r="E168" s="121" t="str">
        <x:v>https://www.cpubenchmark.net/cpu_lookup.php?cpu=Intel+Core+i9-12900&amp;id=4729</x:v>
      </x:c>
      <x:c r="F168" s="125" t="n">
        <x:v>46218</x:v>
      </x:c>
      <x:c r="G168" s="121" t="str">
        <x:v>specs.passmark_cpu_mark
specs.passmark_single_thread_mark
specs.passmark_checked_at
specs.tdp_w</x:v>
      </x:c>
      <x:c r="H168" s="121" t="str">
        <x:v>Codex</x:v>
      </x:c>
      <x:c r="I168" s="121" t="str">
        <x:v>CPU Mega List（最終更新2026-07-11）から取得。スコアは投稿サンプルの更新で変動します。</x:v>
      </x:c>
    </x:row>
    <x:row r="169" ht="58" customHeight="1">
      <x:c r="A169" t="str">
        <x:v>intel-core-i9-12900f-official</x:v>
      </x:c>
      <x:c r="B169" t="str">
        <x:v>intel-core-i9-12900f</x:v>
      </x:c>
      <x:c r="C169" t="str">
        <x:v>manufacturer</x:v>
      </x:c>
      <x:c r="D169" s="121" t="str">
        <x:v>Intel Core i9-12900F 公式仕様・発売情報</x:v>
      </x:c>
      <x:c r="E169" s="121" t="str">
        <x:v>https://www.intel.com/content/www/us/en/products/sku/134598/intel-core-i912900f-processor-30m-cache-up-to-5-10-ghz.html</x:v>
      </x:c>
      <x:c r="F169" s="125" t="n">
        <x:v>46218</x:v>
      </x:c>
      <x:c r="G169" s="121" t="str">
        <x:v>specs.socket
specs.cores
specs.threads
specs.architecture
specs.release_date
specs.launch_period
specs.generation</x:v>
      </x:c>
      <x:c r="H169" s="121" t="str">
        <x:v>Codex</x:v>
      </x:c>
      <x:c r="I169" s="121" t="str">
        <x:v>発売日は公式の一般販売開始日を優先。日付を特定できない場合はlaunch_periodと精度のみ登録。</x:v>
      </x:c>
    </x:row>
    <x:row r="170" ht="58" customHeight="1">
      <x:c r="A170" t="str">
        <x:v>intel-core-i9-12900f-passmark</x:v>
      </x:c>
      <x:c r="B170" t="str">
        <x:v>intel-core-i9-12900f</x:v>
      </x:c>
      <x:c r="C170" t="str">
        <x:v>technical_database</x:v>
      </x:c>
      <x:c r="D170" s="121" t="str">
        <x:v>Intel Core i9-12900F PassMark benchmark</x:v>
      </x:c>
      <x:c r="E170" s="121" t="str">
        <x:v>https://www.cpubenchmark.net/cpu_lookup.php?cpu=Intel+Core+i9-12900F&amp;id=4694</x:v>
      </x:c>
      <x:c r="F170" s="125" t="n">
        <x:v>46218</x:v>
      </x:c>
      <x:c r="G170" s="121" t="str">
        <x:v>specs.passmark_cpu_mark
specs.passmark_single_thread_mark
specs.passmark_checked_at
specs.tdp_w</x:v>
      </x:c>
      <x:c r="H170" s="121" t="str">
        <x:v>Codex</x:v>
      </x:c>
      <x:c r="I170" s="121" t="str">
        <x:v>CPU Mega List（最終更新2026-07-11）から取得。スコアは投稿サンプルの更新で変動します。</x:v>
      </x:c>
    </x:row>
    <x:row r="171" ht="58" customHeight="1">
      <x:c r="A171" t="str">
        <x:v>intel-core-i9-12900k-official</x:v>
      </x:c>
      <x:c r="B171" t="str">
        <x:v>intel-core-i9-12900k</x:v>
      </x:c>
      <x:c r="C171" t="str">
        <x:v>manufacturer</x:v>
      </x:c>
      <x:c r="D171" s="121" t="str">
        <x:v>Intel Core i9-12900K 公式仕様・発売情報</x:v>
      </x:c>
      <x:c r="E171" s="121" t="str">
        <x:v>https://www.intel.com/content/www/us/en/products/sku/134599/intel-core-i912900k-processor-30m-cache-up-to-5-20-ghz.html</x:v>
      </x:c>
      <x:c r="F171" s="125" t="n">
        <x:v>46218</x:v>
      </x:c>
      <x:c r="G171" s="121" t="str">
        <x:v>specs.socket
specs.cores
specs.threads
specs.architecture
specs.release_date
specs.launch_period
specs.generation</x:v>
      </x:c>
      <x:c r="H171" s="121" t="str">
        <x:v>Codex</x:v>
      </x:c>
      <x:c r="I171" s="121" t="str">
        <x:v>発売日は公式の一般販売開始日を優先。日付を特定できない場合はlaunch_periodと精度のみ登録。</x:v>
      </x:c>
    </x:row>
    <x:row r="172" ht="58" customHeight="1">
      <x:c r="A172" t="str">
        <x:v>intel-core-i9-12900k-passmark</x:v>
      </x:c>
      <x:c r="B172" t="str">
        <x:v>intel-core-i9-12900k</x:v>
      </x:c>
      <x:c r="C172" t="str">
        <x:v>technical_database</x:v>
      </x:c>
      <x:c r="D172" s="121" t="str">
        <x:v>Intel Core i9-12900K PassMark benchmark</x:v>
      </x:c>
      <x:c r="E172" s="121" t="str">
        <x:v>https://www.cpubenchmark.net/cpu_lookup.php?cpu=Intel+Core+i9-12900K&amp;id=4597</x:v>
      </x:c>
      <x:c r="F172" s="125" t="n">
        <x:v>46218</x:v>
      </x:c>
      <x:c r="G172" s="121" t="str">
        <x:v>specs.passmark_cpu_mark
specs.passmark_single_thread_mark
specs.passmark_checked_at
specs.tdp_w</x:v>
      </x:c>
      <x:c r="H172" s="121" t="str">
        <x:v>Codex</x:v>
      </x:c>
      <x:c r="I172" s="121" t="str">
        <x:v>CPU Mega List（最終更新2026-07-11）から取得。スコアは投稿サンプルの更新で変動します。</x:v>
      </x:c>
    </x:row>
    <x:row r="173" ht="58" customHeight="1">
      <x:c r="A173" t="str">
        <x:v>intel-core-i9-12900kf-official</x:v>
      </x:c>
      <x:c r="B173" t="str">
        <x:v>intel-core-i9-12900kf</x:v>
      </x:c>
      <x:c r="C173" t="str">
        <x:v>manufacturer</x:v>
      </x:c>
      <x:c r="D173" s="121" t="str">
        <x:v>Intel Core i9-12900KF 公式仕様・発売情報</x:v>
      </x:c>
      <x:c r="E173" s="121" t="str">
        <x:v>https://www.intel.com/content/www/us/en/products/sku/134600/intel-core-i912900kf-processor-30m-cache-up-to-5-20-ghz.html</x:v>
      </x:c>
      <x:c r="F173" s="125" t="n">
        <x:v>46218</x:v>
      </x:c>
      <x:c r="G173" s="121" t="str">
        <x:v>specs.socket
specs.cores
specs.threads
specs.architecture
specs.release_date
specs.launch_period
specs.generation</x:v>
      </x:c>
      <x:c r="H173" s="121" t="str">
        <x:v>Codex</x:v>
      </x:c>
      <x:c r="I173" s="121" t="str">
        <x:v>発売日は公式の一般販売開始日を優先。日付を特定できない場合はlaunch_periodと精度のみ登録。</x:v>
      </x:c>
    </x:row>
    <x:row r="174" ht="58" customHeight="1">
      <x:c r="A174" t="str">
        <x:v>intel-core-i9-12900kf-passmark</x:v>
      </x:c>
      <x:c r="B174" t="str">
        <x:v>intel-core-i9-12900kf</x:v>
      </x:c>
      <x:c r="C174" t="str">
        <x:v>technical_database</x:v>
      </x:c>
      <x:c r="D174" s="121" t="str">
        <x:v>Intel Core i9-12900KF PassMark benchmark</x:v>
      </x:c>
      <x:c r="E174" s="121" t="str">
        <x:v>https://www.cpubenchmark.net/cpu_lookup.php?cpu=Intel+Core+i9-12900KF&amp;id=4611</x:v>
      </x:c>
      <x:c r="F174" s="125" t="n">
        <x:v>46218</x:v>
      </x:c>
      <x:c r="G174" s="121" t="str">
        <x:v>specs.passmark_cpu_mark
specs.passmark_single_thread_mark
specs.passmark_checked_at
specs.tdp_w</x:v>
      </x:c>
      <x:c r="H174" s="121" t="str">
        <x:v>Codex</x:v>
      </x:c>
      <x:c r="I174" s="121" t="str">
        <x:v>CPU Mega List（最終更新2026-07-11）から取得。スコアは投稿サンプルの更新で変動します。</x:v>
      </x:c>
    </x:row>
    <x:row r="175" ht="58" customHeight="1">
      <x:c r="A175" t="str">
        <x:v>intel-core-i9-12900ks-official</x:v>
      </x:c>
      <x:c r="B175" t="str">
        <x:v>intel-core-i9-12900ks</x:v>
      </x:c>
      <x:c r="C175" t="str">
        <x:v>manufacturer</x:v>
      </x:c>
      <x:c r="D175" s="121" t="str">
        <x:v>Intel Core i9-12900KS 公式仕様・発売情報</x:v>
      </x:c>
      <x:c r="E175" s="121" t="str">
        <x:v>https://www.intel.com/content/www/us/en/products/sku/225916/intel-core-i912900ks-processor-30m-cache-up-to-5-50-ghz.html</x:v>
      </x:c>
      <x:c r="F175" s="125" t="n">
        <x:v>46218</x:v>
      </x:c>
      <x:c r="G175" s="121" t="str">
        <x:v>specs.socket
specs.cores
specs.threads
specs.architecture
specs.release_date
specs.launch_period
specs.generation</x:v>
      </x:c>
      <x:c r="H175" s="121" t="str">
        <x:v>Codex</x:v>
      </x:c>
      <x:c r="I175" s="121" t="str">
        <x:v>発売日は公式の一般販売開始日を優先。日付を特定できない場合はlaunch_periodと精度のみ登録。</x:v>
      </x:c>
    </x:row>
    <x:row r="176" ht="58" customHeight="1">
      <x:c r="A176" t="str">
        <x:v>intel-core-i9-12900ks-passmark</x:v>
      </x:c>
      <x:c r="B176" t="str">
        <x:v>intel-core-i9-12900ks</x:v>
      </x:c>
      <x:c r="C176" t="str">
        <x:v>technical_database</x:v>
      </x:c>
      <x:c r="D176" s="121" t="str">
        <x:v>Intel Core i9-12900KS PassMark benchmark</x:v>
      </x:c>
      <x:c r="E176" s="121" t="str">
        <x:v>https://www.cpubenchmark.net/cpu_lookup.php?cpu=Intel+Core+i9-12900KS&amp;id=4813</x:v>
      </x:c>
      <x:c r="F176" s="125" t="n">
        <x:v>46218</x:v>
      </x:c>
      <x:c r="G176" s="121" t="str">
        <x:v>specs.passmark_cpu_mark
specs.passmark_single_thread_mark
specs.passmark_checked_at
specs.tdp_w</x:v>
      </x:c>
      <x:c r="H176" s="121" t="str">
        <x:v>Codex</x:v>
      </x:c>
      <x:c r="I176" s="121" t="str">
        <x:v>CPU Mega List（最終更新2026-07-11）から取得。スコアは投稿サンプルの更新で変動します。</x:v>
      </x:c>
    </x:row>
    <x:row r="177" ht="58" customHeight="1">
      <x:c r="A177" t="str">
        <x:v>intel-core-i9-13900-official</x:v>
      </x:c>
      <x:c r="B177" t="str">
        <x:v>intel-core-i9-13900</x:v>
      </x:c>
      <x:c r="C177" t="str">
        <x:v>manufacturer</x:v>
      </x:c>
      <x:c r="D177" s="121" t="str">
        <x:v>Intel Core i9-13900 公式仕様・発売情報</x:v>
      </x:c>
      <x:c r="E177" s="121" t="str">
        <x:v>https://www.intel.com/content/www/us/en/products/sku/230499/intel-core-i913900-processor-36m-cache-up-to-5-60-ghz.html</x:v>
      </x:c>
      <x:c r="F177" s="125" t="n">
        <x:v>46218</x:v>
      </x:c>
      <x:c r="G177" s="121" t="str">
        <x:v>specs.socket
specs.cores
specs.threads
specs.architecture
specs.release_date
specs.launch_period
specs.generation</x:v>
      </x:c>
      <x:c r="H177" s="121" t="str">
        <x:v>Codex</x:v>
      </x:c>
      <x:c r="I177" s="121" t="str">
        <x:v>発売日は公式の一般販売開始日を優先。日付を特定できない場合はlaunch_periodと精度のみ登録。</x:v>
      </x:c>
    </x:row>
    <x:row r="178" ht="58" customHeight="1">
      <x:c r="A178" t="str">
        <x:v>intel-core-i9-13900-passmark</x:v>
      </x:c>
      <x:c r="B178" t="str">
        <x:v>intel-core-i9-13900</x:v>
      </x:c>
      <x:c r="C178" t="str">
        <x:v>technical_database</x:v>
      </x:c>
      <x:c r="D178" s="121" t="str">
        <x:v>Intel Core i9-13900 PassMark benchmark</x:v>
      </x:c>
      <x:c r="E178" s="121" t="str">
        <x:v>https://www.cpubenchmark.net/cpu_lookup.php?cpu=Intel+Core+i9-13900&amp;id=5176</x:v>
      </x:c>
      <x:c r="F178" s="125" t="n">
        <x:v>46218</x:v>
      </x:c>
      <x:c r="G178" s="121" t="str">
        <x:v>specs.passmark_cpu_mark
specs.passmark_single_thread_mark
specs.passmark_checked_at
specs.tdp_w</x:v>
      </x:c>
      <x:c r="H178" s="121" t="str">
        <x:v>Codex</x:v>
      </x:c>
      <x:c r="I178" s="121" t="str">
        <x:v>CPU Mega List（最終更新2026-07-11）から取得。スコアは投稿サンプルの更新で変動します。</x:v>
      </x:c>
    </x:row>
    <x:row r="179" ht="58" customHeight="1">
      <x:c r="A179" t="str">
        <x:v>intel-core-i9-13900f-official</x:v>
      </x:c>
      <x:c r="B179" t="str">
        <x:v>intel-core-i9-13900f</x:v>
      </x:c>
      <x:c r="C179" t="str">
        <x:v>manufacturer</x:v>
      </x:c>
      <x:c r="D179" s="121" t="str">
        <x:v>Intel Core i9-13900F 公式仕様・発売情報</x:v>
      </x:c>
      <x:c r="E179" s="121" t="str">
        <x:v>https://www.intel.com/content/www/us/en/products/sku/230502/intel-core-i913900f-processor-36m-cache-up-to-5-60-ghz.html</x:v>
      </x:c>
      <x:c r="F179" s="125" t="n">
        <x:v>46218</x:v>
      </x:c>
      <x:c r="G179" s="121" t="str">
        <x:v>specs.socket
specs.cores
specs.threads
specs.architecture
specs.release_date
specs.launch_period
specs.generation</x:v>
      </x:c>
      <x:c r="H179" s="121" t="str">
        <x:v>Codex</x:v>
      </x:c>
      <x:c r="I179" s="121" t="str">
        <x:v>発売日は公式の一般販売開始日を優先。日付を特定できない場合はlaunch_periodと精度のみ登録。</x:v>
      </x:c>
    </x:row>
    <x:row r="180" ht="58" customHeight="1">
      <x:c r="A180" t="str">
        <x:v>intel-core-i9-13900f-passmark</x:v>
      </x:c>
      <x:c r="B180" t="str">
        <x:v>intel-core-i9-13900f</x:v>
      </x:c>
      <x:c r="C180" t="str">
        <x:v>technical_database</x:v>
      </x:c>
      <x:c r="D180" s="121" t="str">
        <x:v>Intel Core i9-13900F PassMark benchmark</x:v>
      </x:c>
      <x:c r="E180" s="121" t="str">
        <x:v>https://www.cpubenchmark.net/cpu_lookup.php?cpu=Intel+Core+i9-13900F&amp;id=5143</x:v>
      </x:c>
      <x:c r="F180" s="125" t="n">
        <x:v>46218</x:v>
      </x:c>
      <x:c r="G180" s="121" t="str">
        <x:v>specs.passmark_cpu_mark
specs.passmark_single_thread_mark
specs.passmark_checked_at
specs.tdp_w</x:v>
      </x:c>
      <x:c r="H180" s="121" t="str">
        <x:v>Codex</x:v>
      </x:c>
      <x:c r="I180" s="121" t="str">
        <x:v>CPU Mega List（最終更新2026-07-11）から取得。スコアは投稿サンプルの更新で変動します。</x:v>
      </x:c>
    </x:row>
    <x:row r="181" ht="58" customHeight="1">
      <x:c r="A181" t="str">
        <x:v>intel-core-i9-13900k-official</x:v>
      </x:c>
      <x:c r="B181" t="str">
        <x:v>intel-core-i9-13900k</x:v>
      </x:c>
      <x:c r="C181" t="str">
        <x:v>manufacturer</x:v>
      </x:c>
      <x:c r="D181" s="121" t="str">
        <x:v>Intel Core i9-13900K 公式仕様・発売情報</x:v>
      </x:c>
      <x:c r="E181" s="121" t="str">
        <x:v>https://www.intel.com/content/www/us/en/products/sku/230496/intel-core-i913900k-processor-36m-cache-up-to-5-80-ghz.html</x:v>
      </x:c>
      <x:c r="F181" s="125" t="n">
        <x:v>46218</x:v>
      </x:c>
      <x:c r="G181" s="121" t="str">
        <x:v>specs.socket
specs.cores
specs.threads
specs.architecture
specs.release_date
specs.launch_period
specs.generation</x:v>
      </x:c>
      <x:c r="H181" s="121" t="str">
        <x:v>Codex</x:v>
      </x:c>
      <x:c r="I181" s="121" t="str">
        <x:v>発売日は公式の一般販売開始日を優先。日付を特定できない場合はlaunch_periodと精度のみ登録。</x:v>
      </x:c>
    </x:row>
    <x:row r="182" ht="58" customHeight="1">
      <x:c r="A182" t="str">
        <x:v>intel-core-i9-13900k-passmark</x:v>
      </x:c>
      <x:c r="B182" t="str">
        <x:v>intel-core-i9-13900k</x:v>
      </x:c>
      <x:c r="C182" t="str">
        <x:v>technical_database</x:v>
      </x:c>
      <x:c r="D182" s="121" t="str">
        <x:v>Intel Core i9-13900K PassMark benchmark</x:v>
      </x:c>
      <x:c r="E182" s="121" t="str">
        <x:v>https://www.cpubenchmark.net/cpu_lookup.php?cpu=Intel+Core+i9-13900K&amp;id=5022</x:v>
      </x:c>
      <x:c r="F182" s="125" t="n">
        <x:v>46218</x:v>
      </x:c>
      <x:c r="G182" s="121" t="str">
        <x:v>specs.passmark_cpu_mark
specs.passmark_single_thread_mark
specs.passmark_checked_at
specs.tdp_w</x:v>
      </x:c>
      <x:c r="H182" s="121" t="str">
        <x:v>Codex</x:v>
      </x:c>
      <x:c r="I182" s="121" t="str">
        <x:v>CPU Mega List（最終更新2026-07-11）から取得。スコアは投稿サンプルの更新で変動します。</x:v>
      </x:c>
    </x:row>
    <x:row r="183" ht="58" customHeight="1">
      <x:c r="A183" t="str">
        <x:v>intel-core-i9-13900kf-official</x:v>
      </x:c>
      <x:c r="B183" t="str">
        <x:v>intel-core-i9-13900kf</x:v>
      </x:c>
      <x:c r="C183" t="str">
        <x:v>manufacturer</x:v>
      </x:c>
      <x:c r="D183" s="121" t="str">
        <x:v>Intel Core i9-13900KF 公式仕様・発売情報</x:v>
      </x:c>
      <x:c r="E183" s="121" t="str">
        <x:v>https://www.intel.com/content/www/us/en/products/sku/230497/intel-core-i913900kf-processor-36m-cache-up-to-5-80-ghz.html</x:v>
      </x:c>
      <x:c r="F183" s="125" t="n">
        <x:v>46218</x:v>
      </x:c>
      <x:c r="G183" s="121" t="str">
        <x:v>specs.socket
specs.cores
specs.threads
specs.architecture
specs.release_date
specs.launch_period
specs.generation</x:v>
      </x:c>
      <x:c r="H183" s="121" t="str">
        <x:v>Codex</x:v>
      </x:c>
      <x:c r="I183" s="121" t="str">
        <x:v>発売日は公式の一般販売開始日を優先。日付を特定できない場合はlaunch_periodと精度のみ登録。</x:v>
      </x:c>
    </x:row>
    <x:row r="184" ht="58" customHeight="1">
      <x:c r="A184" t="str">
        <x:v>intel-core-i9-13900kf-passmark</x:v>
      </x:c>
      <x:c r="B184" t="str">
        <x:v>intel-core-i9-13900kf</x:v>
      </x:c>
      <x:c r="C184" t="str">
        <x:v>technical_database</x:v>
      </x:c>
      <x:c r="D184" s="121" t="str">
        <x:v>Intel Core i9-13900KF PassMark benchmark</x:v>
      </x:c>
      <x:c r="E184" s="121" t="str">
        <x:v>https://www.cpubenchmark.net/cpu_lookup.php?cpu=Intel+Core+i9-13900KF&amp;id=5055</x:v>
      </x:c>
      <x:c r="F184" s="125" t="n">
        <x:v>46218</x:v>
      </x:c>
      <x:c r="G184" s="121" t="str">
        <x:v>specs.passmark_cpu_mark
specs.passmark_single_thread_mark
specs.passmark_checked_at
specs.tdp_w</x:v>
      </x:c>
      <x:c r="H184" s="121" t="str">
        <x:v>Codex</x:v>
      </x:c>
      <x:c r="I184" s="121" t="str">
        <x:v>CPU Mega List（最終更新2026-07-11）から取得。スコアは投稿サンプルの更新で変動します。</x:v>
      </x:c>
    </x:row>
    <x:row r="185" ht="58" customHeight="1">
      <x:c r="A185" t="str">
        <x:v>intel-core-i9-13900ks-official</x:v>
      </x:c>
      <x:c r="B185" t="str">
        <x:v>intel-core-i9-13900ks</x:v>
      </x:c>
      <x:c r="C185" t="str">
        <x:v>manufacturer</x:v>
      </x:c>
      <x:c r="D185" s="121" t="str">
        <x:v>Intel Core i9-13900KS 公式仕様・発売情報</x:v>
      </x:c>
      <x:c r="E185" s="121" t="str">
        <x:v>https://www.intel.com/content/www/us/en/products/sku/232167/intel-core-i913900ks-processor-36m-cache-up-to-6-00-ghz.html</x:v>
      </x:c>
      <x:c r="F185" s="125" t="n">
        <x:v>46218</x:v>
      </x:c>
      <x:c r="G185" s="121" t="str">
        <x:v>specs.socket
specs.cores
specs.threads
specs.architecture
specs.release_date
specs.launch_period
specs.generation</x:v>
      </x:c>
      <x:c r="H185" s="121" t="str">
        <x:v>Codex</x:v>
      </x:c>
      <x:c r="I185" s="121" t="str">
        <x:v>発売日は公式の一般販売開始日を優先。日付を特定できない場合はlaunch_periodと精度のみ登録。</x:v>
      </x:c>
    </x:row>
    <x:row r="186" ht="58" customHeight="1">
      <x:c r="A186" t="str">
        <x:v>intel-core-i9-13900ks-passmark</x:v>
      </x:c>
      <x:c r="B186" t="str">
        <x:v>intel-core-i9-13900ks</x:v>
      </x:c>
      <x:c r="C186" t="str">
        <x:v>technical_database</x:v>
      </x:c>
      <x:c r="D186" s="121" t="str">
        <x:v>Intel Core i9-13900KS PassMark benchmark</x:v>
      </x:c>
      <x:c r="E186" s="121" t="str">
        <x:v>https://www.cpubenchmark.net/cpu_lookup.php?cpu=Intel+Core+i9-13900KS&amp;id=5160</x:v>
      </x:c>
      <x:c r="F186" s="125" t="n">
        <x:v>46218</x:v>
      </x:c>
      <x:c r="G186" s="121" t="str">
        <x:v>specs.passmark_cpu_mark
specs.passmark_single_thread_mark
specs.passmark_checked_at
specs.tdp_w</x:v>
      </x:c>
      <x:c r="H186" s="121" t="str">
        <x:v>Codex</x:v>
      </x:c>
      <x:c r="I186" s="121" t="str">
        <x:v>CPU Mega List（最終更新2026-07-11）から取得。スコアは投稿サンプルの更新で変動します。</x:v>
      </x:c>
    </x:row>
    <x:row r="187" ht="58" customHeight="1">
      <x:c r="A187" t="str">
        <x:v>intel-core-i9-14900-official</x:v>
      </x:c>
      <x:c r="B187" t="str">
        <x:v>intel-core-i9-14900</x:v>
      </x:c>
      <x:c r="C187" t="str">
        <x:v>manufacturer</x:v>
      </x:c>
      <x:c r="D187" s="121" t="str">
        <x:v>Intel Core i9-14900 公式仕様・発売情報</x:v>
      </x:c>
      <x:c r="E187" s="121" t="str">
        <x:v>https://www.intel.com/content/www/us/en/products/sku/236793/intel-core-i9-processor-14900-36m-cache-up-to-5-80-ghz.html</x:v>
      </x:c>
      <x:c r="F187" s="125" t="n">
        <x:v>46218</x:v>
      </x:c>
      <x:c r="G187" s="121" t="str">
        <x:v>specs.socket
specs.cores
specs.threads
specs.architecture
specs.release_date
specs.launch_period
specs.generation</x:v>
      </x:c>
      <x:c r="H187" s="121" t="str">
        <x:v>Codex</x:v>
      </x:c>
      <x:c r="I187" s="121" t="str">
        <x:v>発売日は公式の一般販売開始日を優先。日付を特定できない場合はlaunch_periodと精度のみ登録。</x:v>
      </x:c>
    </x:row>
    <x:row r="188" ht="58" customHeight="1">
      <x:c r="A188" t="str">
        <x:v>intel-core-i9-14900-passmark</x:v>
      </x:c>
      <x:c r="B188" t="str">
        <x:v>intel-core-i9-14900</x:v>
      </x:c>
      <x:c r="C188" t="str">
        <x:v>technical_database</x:v>
      </x:c>
      <x:c r="D188" s="121" t="str">
        <x:v>Intel Core i9-14900 PassMark benchmark</x:v>
      </x:c>
      <x:c r="E188" s="121" t="str">
        <x:v>https://www.cpubenchmark.net/cpu_lookup.php?cpu=Intel+Core+i9-14900&amp;id=5886</x:v>
      </x:c>
      <x:c r="F188" s="125" t="n">
        <x:v>46218</x:v>
      </x:c>
      <x:c r="G188" s="121" t="str">
        <x:v>specs.passmark_cpu_mark
specs.passmark_single_thread_mark
specs.passmark_checked_at
specs.tdp_w</x:v>
      </x:c>
      <x:c r="H188" s="121" t="str">
        <x:v>Codex</x:v>
      </x:c>
      <x:c r="I188" s="121" t="str">
        <x:v>CPU Mega List（最終更新2026-07-11）から取得。スコアは投稿サンプルの更新で変動します。</x:v>
      </x:c>
    </x:row>
    <x:row r="189" ht="58" customHeight="1">
      <x:c r="A189" t="str">
        <x:v>intel-core-i9-14900f-official</x:v>
      </x:c>
      <x:c r="B189" t="str">
        <x:v>intel-core-i9-14900f</x:v>
      </x:c>
      <x:c r="C189" t="str">
        <x:v>manufacturer</x:v>
      </x:c>
      <x:c r="D189" s="121" t="str">
        <x:v>Intel Core i9-14900F 公式仕様・発売情報</x:v>
      </x:c>
      <x:c r="E189" s="121" t="str">
        <x:v>https://www.intel.com/content/www/us/en/products/sku/236853/intel-core-i9-processor-14900f-36m-cache-up-to-5-80-ghz.html</x:v>
      </x:c>
      <x:c r="F189" s="125" t="n">
        <x:v>46218</x:v>
      </x:c>
      <x:c r="G189" s="121" t="str">
        <x:v>specs.socket
specs.cores
specs.threads
specs.architecture
specs.release_date
specs.launch_period
specs.generation</x:v>
      </x:c>
      <x:c r="H189" s="121" t="str">
        <x:v>Codex</x:v>
      </x:c>
      <x:c r="I189" s="121" t="str">
        <x:v>発売日は公式の一般販売開始日を優先。日付を特定できない場合はlaunch_periodと精度のみ登録。</x:v>
      </x:c>
    </x:row>
    <x:row r="190" ht="58" customHeight="1">
      <x:c r="A190" t="str">
        <x:v>intel-core-i9-14900f-passmark</x:v>
      </x:c>
      <x:c r="B190" t="str">
        <x:v>intel-core-i9-14900f</x:v>
      </x:c>
      <x:c r="C190" t="str">
        <x:v>technical_database</x:v>
      </x:c>
      <x:c r="D190" s="121" t="str">
        <x:v>Intel Core i9-14900F PassMark benchmark</x:v>
      </x:c>
      <x:c r="E190" s="121" t="str">
        <x:v>https://www.cpubenchmark.net/cpu_lookup.php?cpu=Intel+Core+i9-14900F&amp;id=5833</x:v>
      </x:c>
      <x:c r="F190" s="125" t="n">
        <x:v>46218</x:v>
      </x:c>
      <x:c r="G190" s="121" t="str">
        <x:v>specs.passmark_cpu_mark
specs.passmark_single_thread_mark
specs.passmark_checked_at
specs.tdp_w</x:v>
      </x:c>
      <x:c r="H190" s="121" t="str">
        <x:v>Codex</x:v>
      </x:c>
      <x:c r="I190" s="121" t="str">
        <x:v>CPU Mega List（最終更新2026-07-11）から取得。スコアは投稿サンプルの更新で変動します。</x:v>
      </x:c>
    </x:row>
    <x:row r="191" ht="58" customHeight="1">
      <x:c r="A191" t="str">
        <x:v>intel-core-i9-14900k-official</x:v>
      </x:c>
      <x:c r="B191" t="str">
        <x:v>intel-core-i9-14900k</x:v>
      </x:c>
      <x:c r="C191" t="str">
        <x:v>manufacturer</x:v>
      </x:c>
      <x:c r="D191" s="121" t="str">
        <x:v>Intel Core i9-14900K 公式仕様・発売情報</x:v>
      </x:c>
      <x:c r="E191" s="121" t="str">
        <x:v>https://www.intel.com/content/www/us/en/products/sku/236773/intel-core-i9-processor-14900k-36m-cache-up-to-6-00-ghz.html</x:v>
      </x:c>
      <x:c r="F191" s="125" t="n">
        <x:v>46218</x:v>
      </x:c>
      <x:c r="G191" s="121" t="str">
        <x:v>specs.socket
specs.cores
specs.threads
specs.architecture
specs.release_date
specs.launch_period
specs.generation</x:v>
      </x:c>
      <x:c r="H191" s="121" t="str">
        <x:v>Codex</x:v>
      </x:c>
      <x:c r="I191" s="121" t="str">
        <x:v>発売日は公式の一般販売開始日を優先。日付を特定できない場合はlaunch_periodと精度のみ登録。</x:v>
      </x:c>
    </x:row>
    <x:row r="192" ht="58" customHeight="1">
      <x:c r="A192" t="str">
        <x:v>intel-core-i9-14900k-passmark</x:v>
      </x:c>
      <x:c r="B192" t="str">
        <x:v>intel-core-i9-14900k</x:v>
      </x:c>
      <x:c r="C192" t="str">
        <x:v>technical_database</x:v>
      </x:c>
      <x:c r="D192" s="121" t="str">
        <x:v>Intel Core i9-14900K PassMark benchmark</x:v>
      </x:c>
      <x:c r="E192" s="121" t="str">
        <x:v>https://www.cpubenchmark.net/cpu_lookup.php?cpu=Intel+Core+i9-14900K&amp;id=5717</x:v>
      </x:c>
      <x:c r="F192" s="125" t="n">
        <x:v>46218</x:v>
      </x:c>
      <x:c r="G192" s="121" t="str">
        <x:v>specs.passmark_cpu_mark
specs.passmark_single_thread_mark
specs.passmark_checked_at
specs.tdp_w</x:v>
      </x:c>
      <x:c r="H192" s="121" t="str">
        <x:v>Codex</x:v>
      </x:c>
      <x:c r="I192" s="121" t="str">
        <x:v>CPU Mega List（最終更新2026-07-11）から取得。スコアは投稿サンプルの更新で変動します。</x:v>
      </x:c>
    </x:row>
    <x:row r="193" ht="58" customHeight="1">
      <x:c r="A193" t="str">
        <x:v>intel-core-i9-14900kf-official</x:v>
      </x:c>
      <x:c r="B193" t="str">
        <x:v>intel-core-i9-14900kf</x:v>
      </x:c>
      <x:c r="C193" t="str">
        <x:v>manufacturer</x:v>
      </x:c>
      <x:c r="D193" s="121" t="str">
        <x:v>Intel Core i9-14900KF 公式仕様・発売情報</x:v>
      </x:c>
      <x:c r="E193" s="121" t="str">
        <x:v>https://www.intel.com/content/www/us/en/products/sku/236787/intel-core-i9-processor-14900kf-36m-cache-up-to-6-00-ghz.html</x:v>
      </x:c>
      <x:c r="F193" s="125" t="n">
        <x:v>46218</x:v>
      </x:c>
      <x:c r="G193" s="121" t="str">
        <x:v>specs.socket
specs.cores
specs.threads
specs.architecture
specs.release_date
specs.launch_period
specs.generation</x:v>
      </x:c>
      <x:c r="H193" s="121" t="str">
        <x:v>Codex</x:v>
      </x:c>
      <x:c r="I193" s="121" t="str">
        <x:v>発売日は公式の一般販売開始日を優先。日付を特定できない場合はlaunch_periodと精度のみ登録。</x:v>
      </x:c>
    </x:row>
    <x:row r="194" ht="58" customHeight="1">
      <x:c r="A194" t="str">
        <x:v>intel-core-i9-14900kf-passmark</x:v>
      </x:c>
      <x:c r="B194" t="str">
        <x:v>intel-core-i9-14900kf</x:v>
      </x:c>
      <x:c r="C194" t="str">
        <x:v>technical_database</x:v>
      </x:c>
      <x:c r="D194" s="121" t="str">
        <x:v>Intel Core i9-14900KF PassMark benchmark</x:v>
      </x:c>
      <x:c r="E194" s="121" t="str">
        <x:v>https://www.cpubenchmark.net/cpu_lookup.php?cpu=Intel+Core+i9-14900KF&amp;id=5684</x:v>
      </x:c>
      <x:c r="F194" s="125" t="n">
        <x:v>46218</x:v>
      </x:c>
      <x:c r="G194" s="121" t="str">
        <x:v>specs.passmark_cpu_mark
specs.passmark_single_thread_mark
specs.passmark_checked_at
specs.tdp_w</x:v>
      </x:c>
      <x:c r="H194" s="121" t="str">
        <x:v>Codex</x:v>
      </x:c>
      <x:c r="I194" s="121" t="str">
        <x:v>CPU Mega List（最終更新2026-07-11）から取得。スコアは投稿サンプルの更新で変動します。</x:v>
      </x:c>
    </x:row>
    <x:row r="195" ht="58" customHeight="1">
      <x:c r="A195" t="str">
        <x:v>intel-core-i9-14900ks-official</x:v>
      </x:c>
      <x:c r="B195" t="str">
        <x:v>intel-core-i9-14900ks</x:v>
      </x:c>
      <x:c r="C195" t="str">
        <x:v>manufacturer</x:v>
      </x:c>
      <x:c r="D195" s="121" t="str">
        <x:v>Intel Core i9-14900KS 公式仕様・発売情報</x:v>
      </x:c>
      <x:c r="E195" s="121" t="str">
        <x:v>https://newsroom.intel.com/client-computing/intel-core-14th-gen-desktop-processors</x:v>
      </x:c>
      <x:c r="F195" s="125" t="n">
        <x:v>46218</x:v>
      </x:c>
      <x:c r="G195" s="121" t="str">
        <x:v>specs.socket
specs.cores
specs.threads
specs.architecture
specs.release_date
specs.launch_period
specs.generation</x:v>
      </x:c>
      <x:c r="H195" s="121" t="str">
        <x:v>Codex</x:v>
      </x:c>
      <x:c r="I195" s="121" t="str">
        <x:v>発売日は公式の一般販売開始日を優先。日付を特定できない場合はlaunch_periodと精度のみ登録。</x:v>
      </x:c>
    </x:row>
    <x:row r="196" ht="58" customHeight="1">
      <x:c r="A196" t="str">
        <x:v>intel-core-i9-14900ks-passmark</x:v>
      </x:c>
      <x:c r="B196" t="str">
        <x:v>intel-core-i9-14900ks</x:v>
      </x:c>
      <x:c r="C196" t="str">
        <x:v>technical_database</x:v>
      </x:c>
      <x:c r="D196" s="121" t="str">
        <x:v>Intel Core i9-14900KS PassMark benchmark</x:v>
      </x:c>
      <x:c r="E196" s="121" t="str">
        <x:v>https://www.cpubenchmark.net/cpu_lookup.php?cpu=Intel+Core+i9-14900KS&amp;id=5957</x:v>
      </x:c>
      <x:c r="F196" s="125" t="n">
        <x:v>46218</x:v>
      </x:c>
      <x:c r="G196" s="121" t="str">
        <x:v>specs.passmark_cpu_mark
specs.passmark_single_thread_mark
specs.passmark_checked_at
specs.tdp_w</x:v>
      </x:c>
      <x:c r="H196" s="121" t="str">
        <x:v>Codex</x:v>
      </x:c>
      <x:c r="I196" s="121" t="str">
        <x:v>CPU Mega List（最終更新2026-07-11）から取得。スコアは投稿サンプルの更新で変動します。</x:v>
      </x:c>
    </x:row>
    <x:row r="197" ht="58" customHeight="1">
      <x:c r="A197" t="str">
        <x:v>intel-core-ultra-3-205-official</x:v>
      </x:c>
      <x:c r="B197" t="str">
        <x:v>intel-core-ultra-3-205</x:v>
      </x:c>
      <x:c r="C197" t="str">
        <x:v>manufacturer</x:v>
      </x:c>
      <x:c r="D197" s="121" t="str">
        <x:v>Intel Core Ultra 3 205 公式仕様・発売情報</x:v>
      </x:c>
      <x:c r="E197" s="121" t="str">
        <x:v>https://newsroom.intel.com/artificial-intelligence/core-ultra-200s-series-desktop</x:v>
      </x:c>
      <x:c r="F197" s="125" t="n">
        <x:v>46218</x:v>
      </x:c>
      <x:c r="G197" s="121" t="str">
        <x:v>specs.socket
specs.cores
specs.threads
specs.architecture
specs.launch_period
specs.generation</x:v>
      </x:c>
      <x:c r="H197" s="121" t="str">
        <x:v>Codex</x:v>
      </x:c>
      <x:c r="I197" s="121" t="str">
        <x:v>発売日は公式の一般販売開始日を優先。日付を特定できない場合はlaunch_periodと精度のみ登録。</x:v>
      </x:c>
    </x:row>
    <x:row r="198" ht="58" customHeight="1">
      <x:c r="A198" t="str">
        <x:v>intel-core-ultra-3-205-passmark</x:v>
      </x:c>
      <x:c r="B198" t="str">
        <x:v>intel-core-ultra-3-205</x:v>
      </x:c>
      <x:c r="C198" t="str">
        <x:v>technical_database</x:v>
      </x:c>
      <x:c r="D198" s="121" t="str">
        <x:v>Intel Core Ultra 3 205 PassMark benchmark</x:v>
      </x:c>
      <x:c r="E198" s="121" t="str">
        <x:v>https://www.cpubenchmark.net/cpu_lookup.php?cpu=Intel+Core+Ultra+3+205&amp;id=7250</x:v>
      </x:c>
      <x:c r="F198" s="125" t="n">
        <x:v>46218</x:v>
      </x:c>
      <x:c r="G198" s="121" t="str">
        <x:v>specs.passmark_cpu_mark
specs.passmark_single_thread_mark
specs.passmark_checked_at
specs.tdp_w</x:v>
      </x:c>
      <x:c r="H198" s="121" t="str">
        <x:v>Codex</x:v>
      </x:c>
      <x:c r="I198" s="121" t="str">
        <x:v>CPU Mega List（最終更新2026-07-11）から取得。スコアは投稿サンプルの更新で変動します。</x:v>
      </x:c>
    </x:row>
    <x:row r="199" ht="58" customHeight="1">
      <x:c r="A199" t="str">
        <x:v>intel-core-ultra-5-225-official</x:v>
      </x:c>
      <x:c r="B199" t="str">
        <x:v>intel-core-ultra-5-225</x:v>
      </x:c>
      <x:c r="C199" t="str">
        <x:v>manufacturer</x:v>
      </x:c>
      <x:c r="D199" s="121" t="str">
        <x:v>Intel Core Ultra 5 225 公式仕様・発売情報</x:v>
      </x:c>
      <x:c r="E199" s="121" t="str">
        <x:v>https://newsroom.intel.com/artificial-intelligence/core-ultra-200s-series-desktop</x:v>
      </x:c>
      <x:c r="F199" s="125" t="n">
        <x:v>46218</x:v>
      </x:c>
      <x:c r="G199" s="121" t="str">
        <x:v>specs.socket
specs.cores
specs.threads
specs.architecture
specs.launch_period
specs.generation</x:v>
      </x:c>
      <x:c r="H199" s="121" t="str">
        <x:v>Codex</x:v>
      </x:c>
      <x:c r="I199" s="121" t="str">
        <x:v>発売日は公式の一般販売開始日を優先。日付を特定できない場合はlaunch_periodと精度のみ登録。</x:v>
      </x:c>
    </x:row>
    <x:row r="200" ht="58" customHeight="1">
      <x:c r="A200" t="str">
        <x:v>intel-core-ultra-5-225-passmark</x:v>
      </x:c>
      <x:c r="B200" t="str">
        <x:v>intel-core-ultra-5-225</x:v>
      </x:c>
      <x:c r="C200" t="str">
        <x:v>technical_database</x:v>
      </x:c>
      <x:c r="D200" s="121" t="str">
        <x:v>Intel Core Ultra 5 225 PassMark benchmark</x:v>
      </x:c>
      <x:c r="E200" s="121" t="str">
        <x:v>https://www.cpubenchmark.net/cpu_lookup.php?cpu=Intel+Core+Ultra+5+225&amp;id=6469</x:v>
      </x:c>
      <x:c r="F200" s="125" t="n">
        <x:v>46218</x:v>
      </x:c>
      <x:c r="G200" s="121" t="str">
        <x:v>specs.passmark_cpu_mark
specs.passmark_single_thread_mark
specs.passmark_checked_at
specs.tdp_w</x:v>
      </x:c>
      <x:c r="H200" s="121" t="str">
        <x:v>Codex</x:v>
      </x:c>
      <x:c r="I200" s="121" t="str">
        <x:v>CPU Mega List（最終更新2026-07-11）から取得。スコアは投稿サンプルの更新で変動します。</x:v>
      </x:c>
    </x:row>
    <x:row r="201" ht="58" customHeight="1">
      <x:c r="A201" t="str">
        <x:v>intel-core-ultra-5-225f-official</x:v>
      </x:c>
      <x:c r="B201" t="str">
        <x:v>intel-core-ultra-5-225f</x:v>
      </x:c>
      <x:c r="C201" t="str">
        <x:v>manufacturer</x:v>
      </x:c>
      <x:c r="D201" s="121" t="str">
        <x:v>Intel Core Ultra 5 225F 公式仕様・発売情報</x:v>
      </x:c>
      <x:c r="E201" s="121" t="str">
        <x:v>https://newsroom.intel.com/artificial-intelligence/core-ultra-200s-series-desktop</x:v>
      </x:c>
      <x:c r="F201" s="125" t="n">
        <x:v>46218</x:v>
      </x:c>
      <x:c r="G201" s="121" t="str">
        <x:v>specs.socket
specs.cores
specs.threads
specs.architecture
specs.launch_period
specs.generation</x:v>
      </x:c>
      <x:c r="H201" s="121" t="str">
        <x:v>Codex</x:v>
      </x:c>
      <x:c r="I201" s="121" t="str">
        <x:v>発売日は公式の一般販売開始日を優先。日付を特定できない場合はlaunch_periodと精度のみ登録。</x:v>
      </x:c>
    </x:row>
    <x:row r="202" ht="58" customHeight="1">
      <x:c r="A202" t="str">
        <x:v>intel-core-ultra-5-225f-passmark</x:v>
      </x:c>
      <x:c r="B202" t="str">
        <x:v>intel-core-ultra-5-225f</x:v>
      </x:c>
      <x:c r="C202" t="str">
        <x:v>technical_database</x:v>
      </x:c>
      <x:c r="D202" s="121" t="str">
        <x:v>Intel Core Ultra 5 225F PassMark benchmark</x:v>
      </x:c>
      <x:c r="E202" s="121" t="str">
        <x:v>https://www.cpubenchmark.net/cpu_lookup.php?cpu=Intel+Core+Ultra+5+225F&amp;id=6457</x:v>
      </x:c>
      <x:c r="F202" s="125" t="n">
        <x:v>46218</x:v>
      </x:c>
      <x:c r="G202" s="121" t="str">
        <x:v>specs.passmark_cpu_mark
specs.passmark_single_thread_mark
specs.passmark_checked_at
specs.tdp_w</x:v>
      </x:c>
      <x:c r="H202" s="121" t="str">
        <x:v>Codex</x:v>
      </x:c>
      <x:c r="I202" s="121" t="str">
        <x:v>CPU Mega List（最終更新2026-07-11）から取得。スコアは投稿サンプルの更新で変動します。</x:v>
      </x:c>
    </x:row>
    <x:row r="203" ht="58" customHeight="1">
      <x:c r="A203" t="str">
        <x:v>intel-core-ultra-5-235-official</x:v>
      </x:c>
      <x:c r="B203" t="str">
        <x:v>intel-core-ultra-5-235</x:v>
      </x:c>
      <x:c r="C203" t="str">
        <x:v>manufacturer</x:v>
      </x:c>
      <x:c r="D203" s="121" t="str">
        <x:v>Intel Core Ultra 5 235 公式仕様・発売情報</x:v>
      </x:c>
      <x:c r="E203" s="121" t="str">
        <x:v>https://newsroom.intel.com/artificial-intelligence/core-ultra-200s-series-desktop</x:v>
      </x:c>
      <x:c r="F203" s="125" t="n">
        <x:v>46218</x:v>
      </x:c>
      <x:c r="G203" s="121" t="str">
        <x:v>specs.socket
specs.cores
specs.threads
specs.architecture
specs.launch_period
specs.generation</x:v>
      </x:c>
      <x:c r="H203" s="121" t="str">
        <x:v>Codex</x:v>
      </x:c>
      <x:c r="I203" s="121" t="str">
        <x:v>発売日は公式の一般販売開始日を優先。日付を特定できない場合はlaunch_periodと精度のみ登録。</x:v>
      </x:c>
    </x:row>
    <x:row r="204" ht="58" customHeight="1">
      <x:c r="A204" t="str">
        <x:v>intel-core-ultra-5-235-passmark</x:v>
      </x:c>
      <x:c r="B204" t="str">
        <x:v>intel-core-ultra-5-235</x:v>
      </x:c>
      <x:c r="C204" t="str">
        <x:v>technical_database</x:v>
      </x:c>
      <x:c r="D204" s="121" t="str">
        <x:v>Intel Core Ultra 5 235 PassMark benchmark</x:v>
      </x:c>
      <x:c r="E204" s="121" t="str">
        <x:v>https://www.cpubenchmark.net/cpu_lookup.php?cpu=Intel+Core+Ultra+5+235&amp;id=6526</x:v>
      </x:c>
      <x:c r="F204" s="125" t="n">
        <x:v>46218</x:v>
      </x:c>
      <x:c r="G204" s="121" t="str">
        <x:v>specs.passmark_cpu_mark
specs.passmark_single_thread_mark
specs.passmark_checked_at
specs.tdp_w</x:v>
      </x:c>
      <x:c r="H204" s="121" t="str">
        <x:v>Codex</x:v>
      </x:c>
      <x:c r="I204" s="121" t="str">
        <x:v>CPU Mega List（最終更新2026-07-11）から取得。スコアは投稿サンプルの更新で変動します。</x:v>
      </x:c>
    </x:row>
    <x:row r="205" ht="58" customHeight="1">
      <x:c r="A205" t="str">
        <x:v>intel-core-ultra-5-245-official</x:v>
      </x:c>
      <x:c r="B205" t="str">
        <x:v>intel-core-ultra-5-245</x:v>
      </x:c>
      <x:c r="C205" t="str">
        <x:v>manufacturer</x:v>
      </x:c>
      <x:c r="D205" s="121" t="str">
        <x:v>Intel Core Ultra 5 245 公式仕様・発売情報</x:v>
      </x:c>
      <x:c r="E205" s="121" t="str">
        <x:v>https://newsroom.intel.com/artificial-intelligence/core-ultra-200s-series-desktop</x:v>
      </x:c>
      <x:c r="F205" s="125" t="n">
        <x:v>46218</x:v>
      </x:c>
      <x:c r="G205" s="121" t="str">
        <x:v>specs.socket
specs.cores
specs.threads
specs.architecture
specs.launch_period
specs.generation</x:v>
      </x:c>
      <x:c r="H205" s="121" t="str">
        <x:v>Codex</x:v>
      </x:c>
      <x:c r="I205" s="121" t="str">
        <x:v>発売日は公式の一般販売開始日を優先。日付を特定できない場合はlaunch_periodと精度のみ登録。</x:v>
      </x:c>
    </x:row>
    <x:row r="206" ht="58" customHeight="1">
      <x:c r="A206" t="str">
        <x:v>intel-core-ultra-5-245-passmark</x:v>
      </x:c>
      <x:c r="B206" t="str">
        <x:v>intel-core-ultra-5-245</x:v>
      </x:c>
      <x:c r="C206" t="str">
        <x:v>technical_database</x:v>
      </x:c>
      <x:c r="D206" s="121" t="str">
        <x:v>Intel Core Ultra 5 245 PassMark benchmark</x:v>
      </x:c>
      <x:c r="E206" s="121" t="str">
        <x:v>https://www.cpubenchmark.net/cpu_lookup.php?cpu=Intel+Core+Ultra+5+245&amp;id=6675</x:v>
      </x:c>
      <x:c r="F206" s="125" t="n">
        <x:v>46218</x:v>
      </x:c>
      <x:c r="G206" s="121" t="str">
        <x:v>specs.passmark_cpu_mark
specs.passmark_single_thread_mark
specs.passmark_checked_at
specs.tdp_w</x:v>
      </x:c>
      <x:c r="H206" s="121" t="str">
        <x:v>Codex</x:v>
      </x:c>
      <x:c r="I206" s="121" t="str">
        <x:v>CPU Mega List（最終更新2026-07-11）から取得。スコアは投稿サンプルの更新で変動します。</x:v>
      </x:c>
    </x:row>
    <x:row r="207" ht="58" customHeight="1">
      <x:c r="A207" t="str">
        <x:v>intel-core-ultra-5-245k-official</x:v>
      </x:c>
      <x:c r="B207" t="str">
        <x:v>intel-core-ultra-5-245k</x:v>
      </x:c>
      <x:c r="C207" t="str">
        <x:v>manufacturer</x:v>
      </x:c>
      <x:c r="D207" s="121" t="str">
        <x:v>Intel Core Ultra 5 245K 公式仕様・発売情報</x:v>
      </x:c>
      <x:c r="E207" s="121" t="str">
        <x:v>https://newsroom.intel.com/artificial-intelligence/core-ultra-200s-series-desktop</x:v>
      </x:c>
      <x:c r="F207" s="125" t="n">
        <x:v>46218</x:v>
      </x:c>
      <x:c r="G207" s="121" t="str">
        <x:v>specs.socket
specs.cores
specs.threads
specs.architecture
specs.release_date
specs.launch_period
specs.generation</x:v>
      </x:c>
      <x:c r="H207" s="121" t="str">
        <x:v>Codex</x:v>
      </x:c>
      <x:c r="I207" s="121" t="str">
        <x:v>発売日は公式の一般販売開始日を優先。日付を特定できない場合はlaunch_periodと精度のみ登録。</x:v>
      </x:c>
    </x:row>
    <x:row r="208" ht="58" customHeight="1">
      <x:c r="A208" t="str">
        <x:v>intel-core-ultra-5-245k-passmark</x:v>
      </x:c>
      <x:c r="B208" t="str">
        <x:v>intel-core-ultra-5-245k</x:v>
      </x:c>
      <x:c r="C208" t="str">
        <x:v>technical_database</x:v>
      </x:c>
      <x:c r="D208" s="121" t="str">
        <x:v>Intel Core Ultra 5 245K PassMark benchmark</x:v>
      </x:c>
      <x:c r="E208" s="121" t="str">
        <x:v>https://www.cpubenchmark.net/cpu_lookup.php?cpu=Intel+Core+Ultra+5+245K&amp;id=6324</x:v>
      </x:c>
      <x:c r="F208" s="125" t="n">
        <x:v>46218</x:v>
      </x:c>
      <x:c r="G208" s="121" t="str">
        <x:v>specs.passmark_cpu_mark
specs.passmark_single_thread_mark
specs.passmark_checked_at
specs.tdp_w</x:v>
      </x:c>
      <x:c r="H208" s="121" t="str">
        <x:v>Codex</x:v>
      </x:c>
      <x:c r="I208" s="121" t="str">
        <x:v>CPU Mega List（最終更新2026-07-11）から取得。スコアは投稿サンプルの更新で変動します。</x:v>
      </x:c>
    </x:row>
    <x:row r="209" ht="58" customHeight="1">
      <x:c r="A209" t="str">
        <x:v>intel-core-ultra-5-245kf-official</x:v>
      </x:c>
      <x:c r="B209" t="str">
        <x:v>intel-core-ultra-5-245kf</x:v>
      </x:c>
      <x:c r="C209" t="str">
        <x:v>manufacturer</x:v>
      </x:c>
      <x:c r="D209" s="121" t="str">
        <x:v>Intel Core Ultra 5 245KF 公式仕様・発売情報</x:v>
      </x:c>
      <x:c r="E209" s="121" t="str">
        <x:v>https://newsroom.intel.com/artificial-intelligence/core-ultra-200s-series-desktop</x:v>
      </x:c>
      <x:c r="F209" s="125" t="n">
        <x:v>46218</x:v>
      </x:c>
      <x:c r="G209" s="121" t="str">
        <x:v>specs.socket
specs.cores
specs.threads
specs.architecture
specs.release_date
specs.launch_period
specs.generation</x:v>
      </x:c>
      <x:c r="H209" s="121" t="str">
        <x:v>Codex</x:v>
      </x:c>
      <x:c r="I209" s="121" t="str">
        <x:v>発売日は公式の一般販売開始日を優先。日付を特定できない場合はlaunch_periodと精度のみ登録。</x:v>
      </x:c>
    </x:row>
    <x:row r="210" ht="58" customHeight="1">
      <x:c r="A210" t="str">
        <x:v>intel-core-ultra-5-245kf-passmark</x:v>
      </x:c>
      <x:c r="B210" t="str">
        <x:v>intel-core-ultra-5-245kf</x:v>
      </x:c>
      <x:c r="C210" t="str">
        <x:v>technical_database</x:v>
      </x:c>
      <x:c r="D210" s="121" t="str">
        <x:v>Intel Core Ultra 5 245KF PassMark benchmark</x:v>
      </x:c>
      <x:c r="E210" s="121" t="str">
        <x:v>https://www.cpubenchmark.net/cpu_lookup.php?cpu=Intel+Core+Ultra+5+245KF&amp;id=6336</x:v>
      </x:c>
      <x:c r="F210" s="125" t="n">
        <x:v>46218</x:v>
      </x:c>
      <x:c r="G210" s="121" t="str">
        <x:v>specs.passmark_cpu_mark
specs.passmark_single_thread_mark
specs.passmark_checked_at
specs.tdp_w</x:v>
      </x:c>
      <x:c r="H210" s="121" t="str">
        <x:v>Codex</x:v>
      </x:c>
      <x:c r="I210" s="121" t="str">
        <x:v>CPU Mega List（最終更新2026-07-11）から取得。スコアは投稿サンプルの更新で変動します。</x:v>
      </x:c>
    </x:row>
    <x:row r="211" ht="58" customHeight="1">
      <x:c r="A211" t="str">
        <x:v>intel-core-ultra-5-250k-plus-official</x:v>
      </x:c>
      <x:c r="B211" t="str">
        <x:v>intel-core-ultra-5-250k-plus</x:v>
      </x:c>
      <x:c r="C211" t="str">
        <x:v>manufacturer</x:v>
      </x:c>
      <x:c r="D211" s="121" t="str">
        <x:v>Intel Core Ultra 5 250K Plus 公式仕様・発売情報</x:v>
      </x:c>
      <x:c r="E211" s="121" t="str">
        <x:v>https://newsroom.intel.com/client-computing/intel-announces-new-intel-core-ultra-200s-plus-series-desktop-processors</x:v>
      </x:c>
      <x:c r="F211" s="125" t="n">
        <x:v>46218</x:v>
      </x:c>
      <x:c r="G211" s="121" t="str">
        <x:v>specs.socket
specs.cores
specs.threads
specs.architecture
specs.release_date
specs.launch_period
specs.generation</x:v>
      </x:c>
      <x:c r="H211" s="121" t="str">
        <x:v>Codex</x:v>
      </x:c>
      <x:c r="I211" s="121" t="str">
        <x:v>発売日は公式の一般販売開始日を優先。日付を特定できない場合はlaunch_periodと精度のみ登録。</x:v>
      </x:c>
    </x:row>
    <x:row r="212" ht="58" customHeight="1">
      <x:c r="A212" t="str">
        <x:v>intel-core-ultra-5-250k-plus-passmark</x:v>
      </x:c>
      <x:c r="B212" t="str">
        <x:v>intel-core-ultra-5-250k-plus</x:v>
      </x:c>
      <x:c r="C212" t="str">
        <x:v>technical_database</x:v>
      </x:c>
      <x:c r="D212" s="121" t="str">
        <x:v>Intel Core Ultra 5 250K Plus PassMark benchmark</x:v>
      </x:c>
      <x:c r="E212" s="121" t="str">
        <x:v>https://www.cpubenchmark.net/cpu_lookup.php?cpu=Intel+Core+Ultra+5+250K+Plus&amp;id=7221</x:v>
      </x:c>
      <x:c r="F212" s="125" t="n">
        <x:v>46218</x:v>
      </x:c>
      <x:c r="G212" s="121" t="str">
        <x:v>specs.passmark_cpu_mark
specs.passmark_single_thread_mark
specs.passmark_checked_at
specs.tdp_w</x:v>
      </x:c>
      <x:c r="H212" s="121" t="str">
        <x:v>Codex</x:v>
      </x:c>
      <x:c r="I212" s="121" t="str">
        <x:v>CPU Mega List（最終更新2026-07-11）から取得。スコアは投稿サンプルの更新で変動します。</x:v>
      </x:c>
    </x:row>
    <x:row r="213" ht="58" customHeight="1">
      <x:c r="A213" t="str">
        <x:v>intel-core-ultra-5-250kf-plus-official</x:v>
      </x:c>
      <x:c r="B213" t="str">
        <x:v>intel-core-ultra-5-250kf-plus</x:v>
      </x:c>
      <x:c r="C213" t="str">
        <x:v>manufacturer</x:v>
      </x:c>
      <x:c r="D213" s="121" t="str">
        <x:v>Intel Core Ultra 5 250KF Plus 公式仕様・発売情報</x:v>
      </x:c>
      <x:c r="E213" s="121" t="str">
        <x:v>https://newsroom.intel.com/client-computing/intel-announces-new-intel-core-ultra-200s-plus-series-desktop-processors</x:v>
      </x:c>
      <x:c r="F213" s="125" t="n">
        <x:v>46218</x:v>
      </x:c>
      <x:c r="G213" s="121" t="str">
        <x:v>specs.socket
specs.cores
specs.threads
specs.architecture
specs.release_date
specs.launch_period
specs.generation</x:v>
      </x:c>
      <x:c r="H213" s="121" t="str">
        <x:v>Codex</x:v>
      </x:c>
      <x:c r="I213" s="121" t="str">
        <x:v>発売日は公式の一般販売開始日を優先。日付を特定できない場合はlaunch_periodと精度のみ登録。</x:v>
      </x:c>
    </x:row>
    <x:row r="214" ht="58" customHeight="1">
      <x:c r="A214" t="str">
        <x:v>intel-core-ultra-5-250kf-plus-passmark</x:v>
      </x:c>
      <x:c r="B214" t="str">
        <x:v>intel-core-ultra-5-250kf-plus</x:v>
      </x:c>
      <x:c r="C214" t="str">
        <x:v>technical_database</x:v>
      </x:c>
      <x:c r="D214" s="121" t="str">
        <x:v>Intel Core Ultra 5 250KF Plus PassMark benchmark</x:v>
      </x:c>
      <x:c r="E214" s="121" t="str">
        <x:v>https://www.cpubenchmark.net/cpu_lookup.php?cpu=Intel+Core+Ultra+5+250KF+Plus&amp;id=7246</x:v>
      </x:c>
      <x:c r="F214" s="125" t="n">
        <x:v>46218</x:v>
      </x:c>
      <x:c r="G214" s="121" t="str">
        <x:v>specs.passmark_cpu_mark
specs.passmark_single_thread_mark
specs.passmark_checked_at
specs.tdp_w</x:v>
      </x:c>
      <x:c r="H214" s="121" t="str">
        <x:v>Codex</x:v>
      </x:c>
      <x:c r="I214" s="121" t="str">
        <x:v>CPU Mega List（最終更新2026-07-11）から取得。スコアは投稿サンプルの更新で変動します。</x:v>
      </x:c>
    </x:row>
    <x:row r="215" ht="58" customHeight="1">
      <x:c r="A215" t="str">
        <x:v>intel-core-ultra-7-265-official</x:v>
      </x:c>
      <x:c r="B215" t="str">
        <x:v>intel-core-ultra-7-265</x:v>
      </x:c>
      <x:c r="C215" t="str">
        <x:v>manufacturer</x:v>
      </x:c>
      <x:c r="D215" s="121" t="str">
        <x:v>Intel Core Ultra 7 265 公式仕様・発売情報</x:v>
      </x:c>
      <x:c r="E215" s="121" t="str">
        <x:v>https://newsroom.intel.com/artificial-intelligence/core-ultra-200s-series-desktop</x:v>
      </x:c>
      <x:c r="F215" s="125" t="n">
        <x:v>46218</x:v>
      </x:c>
      <x:c r="G215" s="121" t="str">
        <x:v>specs.socket
specs.cores
specs.threads
specs.architecture
specs.launch_period
specs.generation</x:v>
      </x:c>
      <x:c r="H215" s="121" t="str">
        <x:v>Codex</x:v>
      </x:c>
      <x:c r="I215" s="121" t="str">
        <x:v>発売日は公式の一般販売開始日を優先。日付を特定できない場合はlaunch_periodと精度のみ登録。</x:v>
      </x:c>
    </x:row>
    <x:row r="216" ht="58" customHeight="1">
      <x:c r="A216" t="str">
        <x:v>intel-core-ultra-7-265-passmark</x:v>
      </x:c>
      <x:c r="B216" t="str">
        <x:v>intel-core-ultra-7-265</x:v>
      </x:c>
      <x:c r="C216" t="str">
        <x:v>technical_database</x:v>
      </x:c>
      <x:c r="D216" s="121" t="str">
        <x:v>Intel Core Ultra 7 265 PassMark benchmark</x:v>
      </x:c>
      <x:c r="E216" s="121" t="str">
        <x:v>https://www.cpubenchmark.net/cpu_lookup.php?cpu=Intel+Core+Ultra+7+265&amp;id=6423</x:v>
      </x:c>
      <x:c r="F216" s="125" t="n">
        <x:v>46218</x:v>
      </x:c>
      <x:c r="G216" s="121" t="str">
        <x:v>specs.passmark_cpu_mark
specs.passmark_single_thread_mark
specs.passmark_checked_at
specs.tdp_w</x:v>
      </x:c>
      <x:c r="H216" s="121" t="str">
        <x:v>Codex</x:v>
      </x:c>
      <x:c r="I216" s="121" t="str">
        <x:v>CPU Mega List（最終更新2026-07-11）から取得。スコアは投稿サンプルの更新で変動します。</x:v>
      </x:c>
    </x:row>
    <x:row r="217" ht="58" customHeight="1">
      <x:c r="A217" t="str">
        <x:v>intel-core-ultra-7-265f-official</x:v>
      </x:c>
      <x:c r="B217" t="str">
        <x:v>intel-core-ultra-7-265f</x:v>
      </x:c>
      <x:c r="C217" t="str">
        <x:v>manufacturer</x:v>
      </x:c>
      <x:c r="D217" s="121" t="str">
        <x:v>Intel Core Ultra 7 265F 公式仕様・発売情報</x:v>
      </x:c>
      <x:c r="E217" s="121" t="str">
        <x:v>https://newsroom.intel.com/artificial-intelligence/core-ultra-200s-series-desktop</x:v>
      </x:c>
      <x:c r="F217" s="125" t="n">
        <x:v>46218</x:v>
      </x:c>
      <x:c r="G217" s="121" t="str">
        <x:v>specs.socket
specs.cores
specs.threads
specs.architecture
specs.launch_period
specs.generation</x:v>
      </x:c>
      <x:c r="H217" s="121" t="str">
        <x:v>Codex</x:v>
      </x:c>
      <x:c r="I217" s="121" t="str">
        <x:v>発売日は公式の一般販売開始日を優先。日付を特定できない場合はlaunch_periodと精度のみ登録。</x:v>
      </x:c>
    </x:row>
    <x:row r="218" ht="58" customHeight="1">
      <x:c r="A218" t="str">
        <x:v>intel-core-ultra-7-265f-passmark</x:v>
      </x:c>
      <x:c r="B218" t="str">
        <x:v>intel-core-ultra-7-265f</x:v>
      </x:c>
      <x:c r="C218" t="str">
        <x:v>technical_database</x:v>
      </x:c>
      <x:c r="D218" s="121" t="str">
        <x:v>Intel Core Ultra 7 265F PassMark benchmark</x:v>
      </x:c>
      <x:c r="E218" s="121" t="str">
        <x:v>https://www.cpubenchmark.net/cpu_lookup.php?cpu=Intel+Core+Ultra+7+265F&amp;id=6558</x:v>
      </x:c>
      <x:c r="F218" s="125" t="n">
        <x:v>46218</x:v>
      </x:c>
      <x:c r="G218" s="121" t="str">
        <x:v>specs.passmark_cpu_mark
specs.passmark_single_thread_mark
specs.passmark_checked_at
specs.tdp_w</x:v>
      </x:c>
      <x:c r="H218" s="121" t="str">
        <x:v>Codex</x:v>
      </x:c>
      <x:c r="I218" s="121" t="str">
        <x:v>CPU Mega List（最終更新2026-07-11）から取得。スコアは投稿サンプルの更新で変動します。</x:v>
      </x:c>
    </x:row>
    <x:row r="219" ht="58" customHeight="1">
      <x:c r="A219" t="str">
        <x:v>intel-core-ultra-7-265k-official</x:v>
      </x:c>
      <x:c r="B219" t="str">
        <x:v>intel-core-ultra-7-265k</x:v>
      </x:c>
      <x:c r="C219" t="str">
        <x:v>manufacturer</x:v>
      </x:c>
      <x:c r="D219" s="121" t="str">
        <x:v>Intel Core Ultra 7 265K 公式仕様・発売情報</x:v>
      </x:c>
      <x:c r="E219" s="121" t="str">
        <x:v>https://newsroom.intel.com/artificial-intelligence/core-ultra-200s-series-desktop</x:v>
      </x:c>
      <x:c r="F219" s="125" t="n">
        <x:v>46218</x:v>
      </x:c>
      <x:c r="G219" s="121" t="str">
        <x:v>specs.socket
specs.cores
specs.threads
specs.architecture
specs.release_date
specs.launch_period
specs.generation</x:v>
      </x:c>
      <x:c r="H219" s="121" t="str">
        <x:v>Codex</x:v>
      </x:c>
      <x:c r="I219" s="121" t="str">
        <x:v>発売日は公式の一般販売開始日を優先。日付を特定できない場合はlaunch_periodと精度のみ登録。</x:v>
      </x:c>
    </x:row>
    <x:row r="220" ht="58" customHeight="1">
      <x:c r="A220" t="str">
        <x:v>intel-core-ultra-7-265k-passmark</x:v>
      </x:c>
      <x:c r="B220" t="str">
        <x:v>intel-core-ultra-7-265k</x:v>
      </x:c>
      <x:c r="C220" t="str">
        <x:v>technical_database</x:v>
      </x:c>
      <x:c r="D220" s="121" t="str">
        <x:v>Intel Core Ultra 7 265K PassMark benchmark</x:v>
      </x:c>
      <x:c r="E220" s="121" t="str">
        <x:v>https://www.cpubenchmark.net/cpu_lookup.php?cpu=Intel+Core+Ultra+7+265K&amp;id=6326</x:v>
      </x:c>
      <x:c r="F220" s="125" t="n">
        <x:v>46218</x:v>
      </x:c>
      <x:c r="G220" s="121" t="str">
        <x:v>specs.passmark_cpu_mark
specs.passmark_single_thread_mark
specs.passmark_checked_at
specs.tdp_w</x:v>
      </x:c>
      <x:c r="H220" s="121" t="str">
        <x:v>Codex</x:v>
      </x:c>
      <x:c r="I220" s="121" t="str">
        <x:v>CPU Mega List（最終更新2026-07-11）から取得。スコアは投稿サンプルの更新で変動します。</x:v>
      </x:c>
    </x:row>
    <x:row r="221" ht="58" customHeight="1">
      <x:c r="A221" t="str">
        <x:v>intel-core-ultra-7-265kf-official</x:v>
      </x:c>
      <x:c r="B221" t="str">
        <x:v>intel-core-ultra-7-265kf</x:v>
      </x:c>
      <x:c r="C221" t="str">
        <x:v>manufacturer</x:v>
      </x:c>
      <x:c r="D221" s="121" t="str">
        <x:v>Intel Core Ultra 7 265KF 公式仕様・発売情報</x:v>
      </x:c>
      <x:c r="E221" s="121" t="str">
        <x:v>https://newsroom.intel.com/artificial-intelligence/core-ultra-200s-series-desktop</x:v>
      </x:c>
      <x:c r="F221" s="125" t="n">
        <x:v>46218</x:v>
      </x:c>
      <x:c r="G221" s="121" t="str">
        <x:v>specs.socket
specs.cores
specs.threads
specs.architecture
specs.release_date
specs.launch_period
specs.generation</x:v>
      </x:c>
      <x:c r="H221" s="121" t="str">
        <x:v>Codex</x:v>
      </x:c>
      <x:c r="I221" s="121" t="str">
        <x:v>発売日は公式の一般販売開始日を優先。日付を特定できない場合はlaunch_periodと精度のみ登録。</x:v>
      </x:c>
    </x:row>
    <x:row r="222" ht="58" customHeight="1">
      <x:c r="A222" t="str">
        <x:v>intel-core-ultra-7-265kf-passmark</x:v>
      </x:c>
      <x:c r="B222" t="str">
        <x:v>intel-core-ultra-7-265kf</x:v>
      </x:c>
      <x:c r="C222" t="str">
        <x:v>technical_database</x:v>
      </x:c>
      <x:c r="D222" s="121" t="str">
        <x:v>Intel Core Ultra 7 265KF PassMark benchmark</x:v>
      </x:c>
      <x:c r="E222" s="121" t="str">
        <x:v>https://www.cpubenchmark.net/cpu_lookup.php?cpu=Intel+Core+Ultra+7+265KF&amp;id=6338</x:v>
      </x:c>
      <x:c r="F222" s="125" t="n">
        <x:v>46218</x:v>
      </x:c>
      <x:c r="G222" s="121" t="str">
        <x:v>specs.passmark_cpu_mark
specs.passmark_single_thread_mark
specs.passmark_checked_at
specs.tdp_w</x:v>
      </x:c>
      <x:c r="H222" s="121" t="str">
        <x:v>Codex</x:v>
      </x:c>
      <x:c r="I222" s="121" t="str">
        <x:v>CPU Mega List（最終更新2026-07-11）から取得。スコアは投稿サンプルの更新で変動します。</x:v>
      </x:c>
    </x:row>
    <x:row r="223" ht="58" customHeight="1">
      <x:c r="A223" t="str">
        <x:v>intel-core-ultra-7-270k-plus-official</x:v>
      </x:c>
      <x:c r="B223" t="str">
        <x:v>intel-core-ultra-7-270k-plus</x:v>
      </x:c>
      <x:c r="C223" t="str">
        <x:v>manufacturer</x:v>
      </x:c>
      <x:c r="D223" s="121" t="str">
        <x:v>Intel Core Ultra 7 270K Plus 公式仕様・発売情報</x:v>
      </x:c>
      <x:c r="E223" s="121" t="str">
        <x:v>https://newsroom.intel.com/client-computing/intel-announces-new-intel-core-ultra-200s-plus-series-desktop-processors</x:v>
      </x:c>
      <x:c r="F223" s="125" t="n">
        <x:v>46218</x:v>
      </x:c>
      <x:c r="G223" s="121" t="str">
        <x:v>specs.socket
specs.cores
specs.threads
specs.architecture
specs.release_date
specs.launch_period
specs.generation</x:v>
      </x:c>
      <x:c r="H223" s="121" t="str">
        <x:v>Codex</x:v>
      </x:c>
      <x:c r="I223" s="121" t="str">
        <x:v>発売日は公式の一般販売開始日を優先。日付を特定できない場合はlaunch_periodと精度のみ登録。</x:v>
      </x:c>
    </x:row>
    <x:row r="224" ht="58" customHeight="1">
      <x:c r="A224" t="str">
        <x:v>intel-core-ultra-7-270k-plus-passmark</x:v>
      </x:c>
      <x:c r="B224" t="str">
        <x:v>intel-core-ultra-7-270k-plus</x:v>
      </x:c>
      <x:c r="C224" t="str">
        <x:v>technical_database</x:v>
      </x:c>
      <x:c r="D224" s="121" t="str">
        <x:v>Intel Core Ultra 7 270K Plus PassMark benchmark</x:v>
      </x:c>
      <x:c r="E224" s="121" t="str">
        <x:v>https://www.cpubenchmark.net/cpu_lookup.php?cpu=Intel+Core+Ultra+7+270K+Plus&amp;id=7114</x:v>
      </x:c>
      <x:c r="F224" s="125" t="n">
        <x:v>46218</x:v>
      </x:c>
      <x:c r="G224" s="121" t="str">
        <x:v>specs.passmark_cpu_mark
specs.passmark_single_thread_mark
specs.passmark_checked_at
specs.tdp_w</x:v>
      </x:c>
      <x:c r="H224" s="121" t="str">
        <x:v>Codex</x:v>
      </x:c>
      <x:c r="I224" s="121" t="str">
        <x:v>CPU Mega List（最終更新2026-07-11）から取得。スコアは投稿サンプルの更新で変動します。</x:v>
      </x:c>
    </x:row>
    <x:row r="225" ht="58" customHeight="1">
      <x:c r="A225" t="str">
        <x:v>intel-core-ultra-9-285-official</x:v>
      </x:c>
      <x:c r="B225" t="str">
        <x:v>intel-core-ultra-9-285</x:v>
      </x:c>
      <x:c r="C225" t="str">
        <x:v>manufacturer</x:v>
      </x:c>
      <x:c r="D225" s="121" t="str">
        <x:v>Intel Core Ultra 9 285 公式仕様・発売情報</x:v>
      </x:c>
      <x:c r="E225" s="121" t="str">
        <x:v>https://newsroom.intel.com/artificial-intelligence/core-ultra-200s-series-desktop</x:v>
      </x:c>
      <x:c r="F225" s="125" t="n">
        <x:v>46218</x:v>
      </x:c>
      <x:c r="G225" s="121" t="str">
        <x:v>specs.socket
specs.cores
specs.threads
specs.architecture
specs.launch_period
specs.generation</x:v>
      </x:c>
      <x:c r="H225" s="121" t="str">
        <x:v>Codex</x:v>
      </x:c>
      <x:c r="I225" s="121" t="str">
        <x:v>発売日は公式の一般販売開始日を優先。日付を特定できない場合はlaunch_periodと精度のみ登録。</x:v>
      </x:c>
    </x:row>
    <x:row r="226" ht="58" customHeight="1">
      <x:c r="A226" t="str">
        <x:v>intel-core-ultra-9-285-passmark</x:v>
      </x:c>
      <x:c r="B226" t="str">
        <x:v>intel-core-ultra-9-285</x:v>
      </x:c>
      <x:c r="C226" t="str">
        <x:v>technical_database</x:v>
      </x:c>
      <x:c r="D226" s="121" t="str">
        <x:v>Intel Core Ultra 9 285 PassMark benchmark</x:v>
      </x:c>
      <x:c r="E226" s="121" t="str">
        <x:v>https://www.cpubenchmark.net/cpu_lookup.php?cpu=Intel+Core+Ultra+9+285&amp;id=6443</x:v>
      </x:c>
      <x:c r="F226" s="125" t="n">
        <x:v>46218</x:v>
      </x:c>
      <x:c r="G226" s="121" t="str">
        <x:v>specs.passmark_cpu_mark
specs.passmark_single_thread_mark
specs.passmark_checked_at
specs.tdp_w</x:v>
      </x:c>
      <x:c r="H226" s="121" t="str">
        <x:v>Codex</x:v>
      </x:c>
      <x:c r="I226" s="121" t="str">
        <x:v>CPU Mega List（最終更新2026-07-11）から取得。スコアは投稿サンプルの更新で変動します。</x:v>
      </x:c>
    </x:row>
    <x:row r="227" ht="58" customHeight="1">
      <x:c r="A227" t="str">
        <x:v>intel-core-ultra-9-285k-official</x:v>
      </x:c>
      <x:c r="B227" t="str">
        <x:v>intel-core-ultra-9-285k</x:v>
      </x:c>
      <x:c r="C227" t="str">
        <x:v>manufacturer</x:v>
      </x:c>
      <x:c r="D227" s="121" t="str">
        <x:v>Intel Core Ultra 9 285K 公式仕様・発売情報</x:v>
      </x:c>
      <x:c r="E227" s="121" t="str">
        <x:v>https://newsroom.intel.com/artificial-intelligence/core-ultra-200s-series-desktop</x:v>
      </x:c>
      <x:c r="F227" s="125" t="n">
        <x:v>46218</x:v>
      </x:c>
      <x:c r="G227" s="121" t="str">
        <x:v>specs.socket
specs.cores
specs.threads
specs.architecture
specs.release_date
specs.launch_period
specs.generation</x:v>
      </x:c>
      <x:c r="H227" s="121" t="str">
        <x:v>Codex</x:v>
      </x:c>
      <x:c r="I227" s="121" t="str">
        <x:v>発売日は公式の一般販売開始日を優先。日付を特定できない場合はlaunch_periodと精度のみ登録。</x:v>
      </x:c>
    </x:row>
    <x:row r="228" ht="58" customHeight="1">
      <x:c r="A228" t="str">
        <x:v>intel-core-ultra-9-285k-passmark</x:v>
      </x:c>
      <x:c r="B228" t="str">
        <x:v>intel-core-ultra-9-285k</x:v>
      </x:c>
      <x:c r="C228" t="str">
        <x:v>technical_database</x:v>
      </x:c>
      <x:c r="D228" s="121" t="str">
        <x:v>Intel Core Ultra 9 285K PassMark benchmark</x:v>
      </x:c>
      <x:c r="E228" s="121" t="str">
        <x:v>https://www.cpubenchmark.net/cpu_lookup.php?cpu=Intel+Core+Ultra+9+285K&amp;id=6296</x:v>
      </x:c>
      <x:c r="F228" s="125" t="n">
        <x:v>46218</x:v>
      </x:c>
      <x:c r="G228" s="121" t="str">
        <x:v>specs.passmark_cpu_mark
specs.passmark_single_thread_mark
specs.passmark_checked_at
specs.tdp_w</x:v>
      </x:c>
      <x:c r="H228" s="121" t="str">
        <x:v>Codex</x:v>
      </x:c>
      <x:c r="I228" s="121" t="str">
        <x:v>CPU Mega List（最終更新2026-07-11）から取得。スコアは投稿サンプルの更新で変動します。</x:v>
      </x:c>
    </x:row>
    <x:row r="229" ht="58" customHeight="1">
      <x:c r="A229" t="str">
        <x:v>amd-radeon-rx-6400-official</x:v>
      </x:c>
      <x:c r="B229" t="str">
        <x:v>amd-radeon-rx-6400</x:v>
      </x:c>
      <x:c r="C229" t="str">
        <x:v>manufacturer</x:v>
      </x:c>
      <x:c r="D229" s="121" t="str">
        <x:v>AMD Radeon RX 6400 公式世代・仕様情報</x:v>
      </x:c>
      <x:c r="E229" s="121" t="str">
        <x:v>https://www.amd.com/en/products/graphics/desktops/radeon.html</x:v>
      </x:c>
      <x:c r="F229" s="125" t="n">
        <x:v>46218</x:v>
      </x:c>
      <x:c r="G229" s="121" t="str">
        <x:v>specs.architecture
specs.generation
specs.release_date
specs.launch_period
specs.vram_gb
specs.memory_type
specs.memory_bus_bits</x:v>
      </x:c>
      <x:c r="H229" s="121" t="str">
        <x:v>Codex</x:v>
      </x:c>
      <x:c r="I229" s="121" t="str">
        <x:v>公式世代ページ・製品情報を基準に記録。日付を確定できない派生SKUは月または四半期精度。</x:v>
      </x:c>
    </x:row>
    <x:row r="230" ht="58" customHeight="1">
      <x:c r="A230" t="str">
        <x:v>amd-radeon-rx-6400-passmark</x:v>
      </x:c>
      <x:c r="B230" t="str">
        <x:v>amd-radeon-rx-6400</x:v>
      </x:c>
      <x:c r="C230" t="str">
        <x:v>technical_database</x:v>
      </x:c>
      <x:c r="D230" s="121" t="str">
        <x:v>Radeon RX 6400 PassMark benchmark</x:v>
      </x:c>
      <x:c r="E230" s="121" t="str">
        <x:v>https://www.videocardbenchmark.net/video_lookup.php?gpu=Radeon+RX+6400&amp;id=4536</x:v>
      </x:c>
      <x:c r="F230" s="125" t="n">
        <x:v>46218</x:v>
      </x:c>
      <x:c r="G230" s="121" t="str">
        <x:v>specs.passmark_g3d_mark
specs.passmark_g2d_mark
specs.benchmark_reported_tdp_w
specs.passmark_checked_at</x:v>
      </x:c>
      <x:c r="H230" s="121" t="str">
        <x:v>Codex</x:v>
      </x:c>
      <x:c r="I230" s="121" t="str">
        <x:v>GPU Mega Page（最終更新2026-07-14）から取得。投稿サンプル更新により変動します。</x:v>
      </x:c>
    </x:row>
    <x:row r="231" ht="58" customHeight="1">
      <x:c r="A231" t="str">
        <x:v>amd-radeon-rx-6500-xt-4gb-official</x:v>
      </x:c>
      <x:c r="B231" t="str">
        <x:v>amd-radeon-rx-6500-xt-4gb</x:v>
      </x:c>
      <x:c r="C231" t="str">
        <x:v>manufacturer</x:v>
      </x:c>
      <x:c r="D231" s="121" t="str">
        <x:v>AMD Radeon RX 6500 XT 4GB 公式世代・仕様情報</x:v>
      </x:c>
      <x:c r="E231" s="121" t="str">
        <x:v>https://www.amd.com/en/products/graphics/desktops/radeon.html</x:v>
      </x:c>
      <x:c r="F231" s="125" t="n">
        <x:v>46218</x:v>
      </x:c>
      <x:c r="G231" s="121" t="str">
        <x:v>specs.architecture
specs.generation
specs.release_date
specs.launch_period
specs.vram_gb
specs.memory_type
specs.memory_bus_bits</x:v>
      </x:c>
      <x:c r="H231" s="121" t="str">
        <x:v>Codex</x:v>
      </x:c>
      <x:c r="I231" s="121" t="str">
        <x:v>公式世代ページ・製品情報を基準に記録。日付を確定できない派生SKUは月または四半期精度。</x:v>
      </x:c>
    </x:row>
    <x:row r="232" ht="58" customHeight="1">
      <x:c r="A232" t="str">
        <x:v>amd-radeon-rx-6500-xt-4gb-passmark</x:v>
      </x:c>
      <x:c r="B232" t="str">
        <x:v>amd-radeon-rx-6500-xt-4gb</x:v>
      </x:c>
      <x:c r="C232" t="str">
        <x:v>technical_database</x:v>
      </x:c>
      <x:c r="D232" s="121" t="str">
        <x:v>Radeon RX 6500 XT PassMark benchmark</x:v>
      </x:c>
      <x:c r="E232" s="121" t="str">
        <x:v>https://www.videocardbenchmark.net/video_lookup.php?gpu=Radeon+RX+6500+XT&amp;id=4488</x:v>
      </x:c>
      <x:c r="F232" s="125" t="n">
        <x:v>46218</x:v>
      </x:c>
      <x:c r="G232" s="121" t="str">
        <x:v>specs.passmark_g3d_mark
specs.passmark_g2d_mark
specs.benchmark_reported_tdp_w
specs.passmark_checked_at</x:v>
      </x:c>
      <x:c r="H232" s="121" t="str">
        <x:v>Codex</x:v>
      </x:c>
      <x:c r="I232" s="121" t="str">
        <x:v>GPU Mega Page（最終更新2026-07-14）から取得。投稿サンプル更新により変動します。</x:v>
      </x:c>
    </x:row>
    <x:row r="233" ht="58" customHeight="1">
      <x:c r="A233" t="str">
        <x:v>amd-radeon-rx-6600-official</x:v>
      </x:c>
      <x:c r="B233" t="str">
        <x:v>amd-radeon-rx-6600</x:v>
      </x:c>
      <x:c r="C233" t="str">
        <x:v>manufacturer</x:v>
      </x:c>
      <x:c r="D233" s="121" t="str">
        <x:v>AMD Radeon RX 6600 公式世代・仕様情報</x:v>
      </x:c>
      <x:c r="E233" s="121" t="str">
        <x:v>https://www.amd.com/en/products/graphics/desktops/radeon.html</x:v>
      </x:c>
      <x:c r="F233" s="125" t="n">
        <x:v>46218</x:v>
      </x:c>
      <x:c r="G233" s="121" t="str">
        <x:v>specs.architecture
specs.generation
specs.release_date
specs.launch_period
specs.vram_gb
specs.memory_type
specs.memory_bus_bits</x:v>
      </x:c>
      <x:c r="H233" s="121" t="str">
        <x:v>Codex</x:v>
      </x:c>
      <x:c r="I233" s="121" t="str">
        <x:v>公式世代ページ・製品情報を基準に記録。日付を確定できない派生SKUは月または四半期精度。</x:v>
      </x:c>
    </x:row>
    <x:row r="234" ht="58" customHeight="1">
      <x:c r="A234" t="str">
        <x:v>amd-radeon-rx-6600-passmark</x:v>
      </x:c>
      <x:c r="B234" t="str">
        <x:v>amd-radeon-rx-6600</x:v>
      </x:c>
      <x:c r="C234" t="str">
        <x:v>technical_database</x:v>
      </x:c>
      <x:c r="D234" s="121" t="str">
        <x:v>Radeon RX 6600 PassMark benchmark</x:v>
      </x:c>
      <x:c r="E234" s="121" t="str">
        <x:v>https://www.videocardbenchmark.net/video_lookup.php?gpu=Radeon+RX+6600&amp;id=4465</x:v>
      </x:c>
      <x:c r="F234" s="125" t="n">
        <x:v>46218</x:v>
      </x:c>
      <x:c r="G234" s="121" t="str">
        <x:v>specs.passmark_g3d_mark
specs.passmark_g2d_mark
specs.benchmark_reported_tdp_w
specs.passmark_checked_at</x:v>
      </x:c>
      <x:c r="H234" s="121" t="str">
        <x:v>Codex</x:v>
      </x:c>
      <x:c r="I234" s="121" t="str">
        <x:v>GPU Mega Page（最終更新2026-07-14）から取得。投稿サンプル更新により変動します。</x:v>
      </x:c>
    </x:row>
    <x:row r="235" ht="58" customHeight="1">
      <x:c r="A235" t="str">
        <x:v>amd-radeon-rx-6600-xt-official</x:v>
      </x:c>
      <x:c r="B235" t="str">
        <x:v>amd-radeon-rx-6600-xt</x:v>
      </x:c>
      <x:c r="C235" t="str">
        <x:v>manufacturer</x:v>
      </x:c>
      <x:c r="D235" s="121" t="str">
        <x:v>AMD Radeon RX 6600 XT 公式世代・仕様情報</x:v>
      </x:c>
      <x:c r="E235" s="121" t="str">
        <x:v>https://www.amd.com/en/products/graphics/desktops/radeon.html</x:v>
      </x:c>
      <x:c r="F235" s="125" t="n">
        <x:v>46218</x:v>
      </x:c>
      <x:c r="G235" s="121" t="str">
        <x:v>specs.architecture
specs.generation
specs.release_date
specs.launch_period
specs.vram_gb
specs.memory_type
specs.memory_bus_bits</x:v>
      </x:c>
      <x:c r="H235" s="121" t="str">
        <x:v>Codex</x:v>
      </x:c>
      <x:c r="I235" s="121" t="str">
        <x:v>公式世代ページ・製品情報を基準に記録。日付を確定できない派生SKUは月または四半期精度。</x:v>
      </x:c>
    </x:row>
    <x:row r="236" ht="58" customHeight="1">
      <x:c r="A236" t="str">
        <x:v>amd-radeon-rx-6600-xt-passmark</x:v>
      </x:c>
      <x:c r="B236" t="str">
        <x:v>amd-radeon-rx-6600-xt</x:v>
      </x:c>
      <x:c r="C236" t="str">
        <x:v>technical_database</x:v>
      </x:c>
      <x:c r="D236" s="121" t="str">
        <x:v>Radeon RX 6600 XT PassMark benchmark</x:v>
      </x:c>
      <x:c r="E236" s="121" t="str">
        <x:v>https://www.videocardbenchmark.net/video_lookup.php?gpu=Radeon+RX+6600+XT&amp;id=4444</x:v>
      </x:c>
      <x:c r="F236" s="125" t="n">
        <x:v>46218</x:v>
      </x:c>
      <x:c r="G236" s="121" t="str">
        <x:v>specs.passmark_g3d_mark
specs.passmark_g2d_mark
specs.benchmark_reported_tdp_w
specs.passmark_checked_at</x:v>
      </x:c>
      <x:c r="H236" s="121" t="str">
        <x:v>Codex</x:v>
      </x:c>
      <x:c r="I236" s="121" t="str">
        <x:v>GPU Mega Page（最終更新2026-07-14）から取得。投稿サンプル更新により変動します。</x:v>
      </x:c>
    </x:row>
    <x:row r="237" ht="58" customHeight="1">
      <x:c r="A237" t="str">
        <x:v>amd-radeon-rx-6650-xt-official</x:v>
      </x:c>
      <x:c r="B237" t="str">
        <x:v>amd-radeon-rx-6650-xt</x:v>
      </x:c>
      <x:c r="C237" t="str">
        <x:v>manufacturer</x:v>
      </x:c>
      <x:c r="D237" s="121" t="str">
        <x:v>AMD Radeon RX 6650 XT 公式世代・仕様情報</x:v>
      </x:c>
      <x:c r="E237" s="121" t="str">
        <x:v>https://www.amd.com/en/products/graphics/desktops/radeon.html</x:v>
      </x:c>
      <x:c r="F237" s="125" t="n">
        <x:v>46218</x:v>
      </x:c>
      <x:c r="G237" s="121" t="str">
        <x:v>specs.architecture
specs.generation
specs.release_date
specs.launch_period
specs.vram_gb
specs.memory_type
specs.memory_bus_bits</x:v>
      </x:c>
      <x:c r="H237" s="121" t="str">
        <x:v>Codex</x:v>
      </x:c>
      <x:c r="I237" s="121" t="str">
        <x:v>公式世代ページ・製品情報を基準に記録。日付を確定できない派生SKUは月または四半期精度。</x:v>
      </x:c>
    </x:row>
    <x:row r="238" ht="58" customHeight="1">
      <x:c r="A238" t="str">
        <x:v>amd-radeon-rx-6650-xt-passmark</x:v>
      </x:c>
      <x:c r="B238" t="str">
        <x:v>amd-radeon-rx-6650-xt</x:v>
      </x:c>
      <x:c r="C238" t="str">
        <x:v>technical_database</x:v>
      </x:c>
      <x:c r="D238" s="121" t="str">
        <x:v>Radeon RX 6650 XT PassMark benchmark</x:v>
      </x:c>
      <x:c r="E238" s="121" t="str">
        <x:v>https://www.videocardbenchmark.net/video_lookup.php?gpu=Radeon+RX+6650+XT&amp;id=4541</x:v>
      </x:c>
      <x:c r="F238" s="125" t="n">
        <x:v>46218</x:v>
      </x:c>
      <x:c r="G238" s="121" t="str">
        <x:v>specs.passmark_g3d_mark
specs.passmark_g2d_mark
specs.benchmark_reported_tdp_w
specs.passmark_checked_at</x:v>
      </x:c>
      <x:c r="H238" s="121" t="str">
        <x:v>Codex</x:v>
      </x:c>
      <x:c r="I238" s="121" t="str">
        <x:v>GPU Mega Page（最終更新2026-07-14）から取得。投稿サンプル更新により変動します。</x:v>
      </x:c>
    </x:row>
    <x:row r="239" ht="58" customHeight="1">
      <x:c r="A239" t="str">
        <x:v>amd-radeon-rx-6700-official</x:v>
      </x:c>
      <x:c r="B239" t="str">
        <x:v>amd-radeon-rx-6700</x:v>
      </x:c>
      <x:c r="C239" t="str">
        <x:v>manufacturer</x:v>
      </x:c>
      <x:c r="D239" s="121" t="str">
        <x:v>AMD Radeon RX 6700 公式世代・仕様情報</x:v>
      </x:c>
      <x:c r="E239" s="121" t="str">
        <x:v>https://www.amd.com/en/products/graphics/desktops/radeon/6000-series/amd-radeon-rx-6700.html</x:v>
      </x:c>
      <x:c r="F239" s="125" t="n">
        <x:v>46218</x:v>
      </x:c>
      <x:c r="G239" s="121" t="str">
        <x:v>specs.architecture
specs.generation
specs.release_date
specs.launch_period
specs.vram_gb
specs.memory_type
specs.memory_bus_bits</x:v>
      </x:c>
      <x:c r="H239" s="121" t="str">
        <x:v>Codex</x:v>
      </x:c>
      <x:c r="I239" s="121" t="str">
        <x:v>公式世代ページ・製品情報を基準に記録。日付を確定できない派生SKUは月または四半期精度。</x:v>
      </x:c>
    </x:row>
    <x:row r="240" ht="58" customHeight="1">
      <x:c r="A240" t="str">
        <x:v>amd-radeon-rx-6700-passmark</x:v>
      </x:c>
      <x:c r="B240" t="str">
        <x:v>amd-radeon-rx-6700</x:v>
      </x:c>
      <x:c r="C240" t="str">
        <x:v>technical_database</x:v>
      </x:c>
      <x:c r="D240" s="121" t="str">
        <x:v>Radeon RX 6700 PassMark benchmark</x:v>
      </x:c>
      <x:c r="E240" s="121" t="str">
        <x:v>https://www.videocardbenchmark.net/video_lookup.php?gpu=Radeon+RX+6700&amp;id=4564</x:v>
      </x:c>
      <x:c r="F240" s="125" t="n">
        <x:v>46218</x:v>
      </x:c>
      <x:c r="G240" s="121" t="str">
        <x:v>specs.passmark_g3d_mark
specs.passmark_g2d_mark
specs.benchmark_reported_tdp_w
specs.passmark_checked_at</x:v>
      </x:c>
      <x:c r="H240" s="121" t="str">
        <x:v>Codex</x:v>
      </x:c>
      <x:c r="I240" s="121" t="str">
        <x:v>GPU Mega Page（最終更新2026-07-14）から取得。投稿サンプル更新により変動します。</x:v>
      </x:c>
    </x:row>
    <x:row r="241" ht="58" customHeight="1">
      <x:c r="A241" t="str">
        <x:v>amd-radeon-rx-6700-xt-official</x:v>
      </x:c>
      <x:c r="B241" t="str">
        <x:v>amd-radeon-rx-6700-xt</x:v>
      </x:c>
      <x:c r="C241" t="str">
        <x:v>manufacturer</x:v>
      </x:c>
      <x:c r="D241" s="121" t="str">
        <x:v>AMD Radeon RX 6700 XT 公式世代・仕様情報</x:v>
      </x:c>
      <x:c r="E241" s="121" t="str">
        <x:v>https://www.amd.com/en/products/graphics/desktops/radeon.html</x:v>
      </x:c>
      <x:c r="F241" s="125" t="n">
        <x:v>46218</x:v>
      </x:c>
      <x:c r="G241" s="121" t="str">
        <x:v>specs.architecture
specs.generation
specs.release_date
specs.launch_period
specs.vram_gb
specs.memory_type
specs.memory_bus_bits</x:v>
      </x:c>
      <x:c r="H241" s="121" t="str">
        <x:v>Codex</x:v>
      </x:c>
      <x:c r="I241" s="121" t="str">
        <x:v>公式世代ページ・製品情報を基準に記録。日付を確定できない派生SKUは月または四半期精度。</x:v>
      </x:c>
    </x:row>
    <x:row r="242" ht="58" customHeight="1">
      <x:c r="A242" t="str">
        <x:v>amd-radeon-rx-6700-xt-passmark</x:v>
      </x:c>
      <x:c r="B242" t="str">
        <x:v>amd-radeon-rx-6700-xt</x:v>
      </x:c>
      <x:c r="C242" t="str">
        <x:v>technical_database</x:v>
      </x:c>
      <x:c r="D242" s="121" t="str">
        <x:v>Radeon RX 6700 XT PassMark benchmark</x:v>
      </x:c>
      <x:c r="E242" s="121" t="str">
        <x:v>https://www.videocardbenchmark.net/video_lookup.php?gpu=Radeon+RX+6700+XT&amp;id=4369</x:v>
      </x:c>
      <x:c r="F242" s="125" t="n">
        <x:v>46218</x:v>
      </x:c>
      <x:c r="G242" s="121" t="str">
        <x:v>specs.passmark_g3d_mark
specs.passmark_g2d_mark
specs.benchmark_reported_tdp_w
specs.passmark_checked_at</x:v>
      </x:c>
      <x:c r="H242" s="121" t="str">
        <x:v>Codex</x:v>
      </x:c>
      <x:c r="I242" s="121" t="str">
        <x:v>GPU Mega Page（最終更新2026-07-14）から取得。投稿サンプル更新により変動します。</x:v>
      </x:c>
    </x:row>
    <x:row r="243" ht="58" customHeight="1">
      <x:c r="A243" t="str">
        <x:v>amd-radeon-rx-6750-xt-official</x:v>
      </x:c>
      <x:c r="B243" t="str">
        <x:v>amd-radeon-rx-6750-xt</x:v>
      </x:c>
      <x:c r="C243" t="str">
        <x:v>manufacturer</x:v>
      </x:c>
      <x:c r="D243" s="121" t="str">
        <x:v>AMD Radeon RX 6750 XT 公式世代・仕様情報</x:v>
      </x:c>
      <x:c r="E243" s="121" t="str">
        <x:v>https://www.amd.com/en/products/graphics/desktops/radeon.html</x:v>
      </x:c>
      <x:c r="F243" s="125" t="n">
        <x:v>46218</x:v>
      </x:c>
      <x:c r="G243" s="121" t="str">
        <x:v>specs.architecture
specs.generation
specs.release_date
specs.launch_period
specs.vram_gb
specs.memory_type
specs.memory_bus_bits</x:v>
      </x:c>
      <x:c r="H243" s="121" t="str">
        <x:v>Codex</x:v>
      </x:c>
      <x:c r="I243" s="121" t="str">
        <x:v>公式世代ページ・製品情報を基準に記録。日付を確定できない派生SKUは月または四半期精度。</x:v>
      </x:c>
    </x:row>
    <x:row r="244" ht="58" customHeight="1">
      <x:c r="A244" t="str">
        <x:v>amd-radeon-rx-6750-xt-passmark</x:v>
      </x:c>
      <x:c r="B244" t="str">
        <x:v>amd-radeon-rx-6750-xt</x:v>
      </x:c>
      <x:c r="C244" t="str">
        <x:v>technical_database</x:v>
      </x:c>
      <x:c r="D244" s="121" t="str">
        <x:v>Radeon RX 6750 XT PassMark benchmark</x:v>
      </x:c>
      <x:c r="E244" s="121" t="str">
        <x:v>https://www.videocardbenchmark.net/video_lookup.php?gpu=Radeon+RX+6750+XT&amp;id=4543</x:v>
      </x:c>
      <x:c r="F244" s="125" t="n">
        <x:v>46218</x:v>
      </x:c>
      <x:c r="G244" s="121" t="str">
        <x:v>specs.passmark_g3d_mark
specs.passmark_g2d_mark
specs.benchmark_reported_tdp_w
specs.passmark_checked_at</x:v>
      </x:c>
      <x:c r="H244" s="121" t="str">
        <x:v>Codex</x:v>
      </x:c>
      <x:c r="I244" s="121" t="str">
        <x:v>GPU Mega Page（最終更新2026-07-14）から取得。投稿サンプル更新により変動します。</x:v>
      </x:c>
    </x:row>
    <x:row r="245" ht="58" customHeight="1">
      <x:c r="A245" t="str">
        <x:v>amd-radeon-rx-6800-official</x:v>
      </x:c>
      <x:c r="B245" t="str">
        <x:v>amd-radeon-rx-6800</x:v>
      </x:c>
      <x:c r="C245" t="str">
        <x:v>manufacturer</x:v>
      </x:c>
      <x:c r="D245" s="121" t="str">
        <x:v>AMD Radeon RX 6800 公式世代・仕様情報</x:v>
      </x:c>
      <x:c r="E245" s="121" t="str">
        <x:v>https://www.amd.com/en/products/graphics/desktops/radeon.html</x:v>
      </x:c>
      <x:c r="F245" s="125" t="n">
        <x:v>46218</x:v>
      </x:c>
      <x:c r="G245" s="121" t="str">
        <x:v>specs.architecture
specs.generation
specs.release_date
specs.launch_period
specs.vram_gb
specs.memory_type
specs.memory_bus_bits</x:v>
      </x:c>
      <x:c r="H245" s="121" t="str">
        <x:v>Codex</x:v>
      </x:c>
      <x:c r="I245" s="121" t="str">
        <x:v>公式世代ページ・製品情報を基準に記録。日付を確定できない派生SKUは月または四半期精度。</x:v>
      </x:c>
    </x:row>
    <x:row r="246" ht="58" customHeight="1">
      <x:c r="A246" t="str">
        <x:v>amd-radeon-rx-6800-passmark</x:v>
      </x:c>
      <x:c r="B246" t="str">
        <x:v>amd-radeon-rx-6800</x:v>
      </x:c>
      <x:c r="C246" t="str">
        <x:v>technical_database</x:v>
      </x:c>
      <x:c r="D246" s="121" t="str">
        <x:v>Radeon RX 6800 PassMark benchmark</x:v>
      </x:c>
      <x:c r="E246" s="121" t="str">
        <x:v>https://www.videocardbenchmark.net/video_lookup.php?gpu=Radeon+RX+6800&amp;id=4314</x:v>
      </x:c>
      <x:c r="F246" s="125" t="n">
        <x:v>46218</x:v>
      </x:c>
      <x:c r="G246" s="121" t="str">
        <x:v>specs.passmark_g3d_mark
specs.passmark_g2d_mark
specs.benchmark_reported_tdp_w
specs.passmark_checked_at</x:v>
      </x:c>
      <x:c r="H246" s="121" t="str">
        <x:v>Codex</x:v>
      </x:c>
      <x:c r="I246" s="121" t="str">
        <x:v>GPU Mega Page（最終更新2026-07-14）から取得。投稿サンプル更新により変動します。</x:v>
      </x:c>
    </x:row>
    <x:row r="247" ht="58" customHeight="1">
      <x:c r="A247" t="str">
        <x:v>amd-radeon-rx-6800-xt-official</x:v>
      </x:c>
      <x:c r="B247" t="str">
        <x:v>amd-radeon-rx-6800-xt</x:v>
      </x:c>
      <x:c r="C247" t="str">
        <x:v>manufacturer</x:v>
      </x:c>
      <x:c r="D247" s="121" t="str">
        <x:v>AMD Radeon RX 6800 XT 公式世代・仕様情報</x:v>
      </x:c>
      <x:c r="E247" s="121" t="str">
        <x:v>https://www.amd.com/en/products/graphics/desktops/radeon.html</x:v>
      </x:c>
      <x:c r="F247" s="125" t="n">
        <x:v>46218</x:v>
      </x:c>
      <x:c r="G247" s="121" t="str">
        <x:v>specs.architecture
specs.generation
specs.release_date
specs.launch_period
specs.vram_gb
specs.memory_type
specs.memory_bus_bits</x:v>
      </x:c>
      <x:c r="H247" s="121" t="str">
        <x:v>Codex</x:v>
      </x:c>
      <x:c r="I247" s="121" t="str">
        <x:v>公式世代ページ・製品情報を基準に記録。日付を確定できない派生SKUは月または四半期精度。</x:v>
      </x:c>
    </x:row>
    <x:row r="248" ht="58" customHeight="1">
      <x:c r="A248" t="str">
        <x:v>amd-radeon-rx-6800-xt-passmark</x:v>
      </x:c>
      <x:c r="B248" t="str">
        <x:v>amd-radeon-rx-6800-xt</x:v>
      </x:c>
      <x:c r="C248" t="str">
        <x:v>technical_database</x:v>
      </x:c>
      <x:c r="D248" s="121" t="str">
        <x:v>Radeon RX 6800 XT PassMark benchmark</x:v>
      </x:c>
      <x:c r="E248" s="121" t="str">
        <x:v>https://www.videocardbenchmark.net/video_lookup.php?gpu=Radeon+RX+6800+XT&amp;id=4312</x:v>
      </x:c>
      <x:c r="F248" s="125" t="n">
        <x:v>46218</x:v>
      </x:c>
      <x:c r="G248" s="121" t="str">
        <x:v>specs.passmark_g3d_mark
specs.passmark_g2d_mark
specs.benchmark_reported_tdp_w
specs.passmark_checked_at</x:v>
      </x:c>
      <x:c r="H248" s="121" t="str">
        <x:v>Codex</x:v>
      </x:c>
      <x:c r="I248" s="121" t="str">
        <x:v>GPU Mega Page（最終更新2026-07-14）から取得。投稿サンプル更新により変動します。</x:v>
      </x:c>
    </x:row>
    <x:row r="249" ht="58" customHeight="1">
      <x:c r="A249" t="str">
        <x:v>amd-radeon-rx-6900-xt-official</x:v>
      </x:c>
      <x:c r="B249" t="str">
        <x:v>amd-radeon-rx-6900-xt</x:v>
      </x:c>
      <x:c r="C249" t="str">
        <x:v>manufacturer</x:v>
      </x:c>
      <x:c r="D249" s="121" t="str">
        <x:v>AMD Radeon RX 6900 XT 公式世代・仕様情報</x:v>
      </x:c>
      <x:c r="E249" s="121" t="str">
        <x:v>https://www.amd.com/en/products/graphics/desktops/radeon.html</x:v>
      </x:c>
      <x:c r="F249" s="125" t="n">
        <x:v>46218</x:v>
      </x:c>
      <x:c r="G249" s="121" t="str">
        <x:v>specs.architecture
specs.generation
specs.release_date
specs.launch_period
specs.vram_gb
specs.memory_type
specs.memory_bus_bits</x:v>
      </x:c>
      <x:c r="H249" s="121" t="str">
        <x:v>Codex</x:v>
      </x:c>
      <x:c r="I249" s="121" t="str">
        <x:v>公式世代ページ・製品情報を基準に記録。日付を確定できない派生SKUは月または四半期精度。</x:v>
      </x:c>
    </x:row>
    <x:row r="250" ht="58" customHeight="1">
      <x:c r="A250" t="str">
        <x:v>amd-radeon-rx-6900-xt-passmark</x:v>
      </x:c>
      <x:c r="B250" t="str">
        <x:v>amd-radeon-rx-6900-xt</x:v>
      </x:c>
      <x:c r="C250" t="str">
        <x:v>technical_database</x:v>
      </x:c>
      <x:c r="D250" s="121" t="str">
        <x:v>Radeon RX 6900 XT PassMark benchmark</x:v>
      </x:c>
      <x:c r="E250" s="121" t="str">
        <x:v>https://www.videocardbenchmark.net/video_lookup.php?gpu=Radeon+RX+6900+XT&amp;id=4322</x:v>
      </x:c>
      <x:c r="F250" s="125" t="n">
        <x:v>46218</x:v>
      </x:c>
      <x:c r="G250" s="121" t="str">
        <x:v>specs.passmark_g3d_mark
specs.passmark_g2d_mark
specs.benchmark_reported_tdp_w
specs.passmark_checked_at</x:v>
      </x:c>
      <x:c r="H250" s="121" t="str">
        <x:v>Codex</x:v>
      </x:c>
      <x:c r="I250" s="121" t="str">
        <x:v>GPU Mega Page（最終更新2026-07-14）から取得。投稿サンプル更新により変動します。</x:v>
      </x:c>
    </x:row>
    <x:row r="251" ht="58" customHeight="1">
      <x:c r="A251" t="str">
        <x:v>amd-radeon-rx-6950-xt-official</x:v>
      </x:c>
      <x:c r="B251" t="str">
        <x:v>amd-radeon-rx-6950-xt</x:v>
      </x:c>
      <x:c r="C251" t="str">
        <x:v>manufacturer</x:v>
      </x:c>
      <x:c r="D251" s="121" t="str">
        <x:v>AMD Radeon RX 6950 XT 公式世代・仕様情報</x:v>
      </x:c>
      <x:c r="E251" s="121" t="str">
        <x:v>https://www.amd.com/en/products/graphics/desktops/radeon.html</x:v>
      </x:c>
      <x:c r="F251" s="125" t="n">
        <x:v>46218</x:v>
      </x:c>
      <x:c r="G251" s="121" t="str">
        <x:v>specs.architecture
specs.generation
specs.release_date
specs.launch_period
specs.vram_gb
specs.memory_type
specs.memory_bus_bits</x:v>
      </x:c>
      <x:c r="H251" s="121" t="str">
        <x:v>Codex</x:v>
      </x:c>
      <x:c r="I251" s="121" t="str">
        <x:v>公式世代ページ・製品情報を基準に記録。日付を確定できない派生SKUは月または四半期精度。</x:v>
      </x:c>
    </x:row>
    <x:row r="252" ht="58" customHeight="1">
      <x:c r="A252" t="str">
        <x:v>amd-radeon-rx-6950-xt-passmark</x:v>
      </x:c>
      <x:c r="B252" t="str">
        <x:v>amd-radeon-rx-6950-xt</x:v>
      </x:c>
      <x:c r="C252" t="str">
        <x:v>technical_database</x:v>
      </x:c>
      <x:c r="D252" s="121" t="str">
        <x:v>Radeon RX 6950 XT PassMark benchmark</x:v>
      </x:c>
      <x:c r="E252" s="121" t="str">
        <x:v>https://www.videocardbenchmark.net/video_lookup.php?gpu=Radeon+RX+6950+XT&amp;id=4540</x:v>
      </x:c>
      <x:c r="F252" s="125" t="n">
        <x:v>46218</x:v>
      </x:c>
      <x:c r="G252" s="121" t="str">
        <x:v>specs.passmark_g3d_mark
specs.passmark_g2d_mark
specs.benchmark_reported_tdp_w
specs.passmark_checked_at</x:v>
      </x:c>
      <x:c r="H252" s="121" t="str">
        <x:v>Codex</x:v>
      </x:c>
      <x:c r="I252" s="121" t="str">
        <x:v>GPU Mega Page（最終更新2026-07-14）から取得。投稿サンプル更新により変動します。</x:v>
      </x:c>
    </x:row>
    <x:row r="253" ht="58" customHeight="1">
      <x:c r="A253" t="str">
        <x:v>amd-radeon-rx-7600-official</x:v>
      </x:c>
      <x:c r="B253" t="str">
        <x:v>amd-radeon-rx-7600</x:v>
      </x:c>
      <x:c r="C253" t="str">
        <x:v>manufacturer</x:v>
      </x:c>
      <x:c r="D253" s="121" t="str">
        <x:v>AMD Radeon RX 7600 公式世代・仕様情報</x:v>
      </x:c>
      <x:c r="E253" s="121" t="str">
        <x:v>https://www.amd.com/en/products/graphics/desktops/radeon.html</x:v>
      </x:c>
      <x:c r="F253" s="125" t="n">
        <x:v>46218</x:v>
      </x:c>
      <x:c r="G253" s="121" t="str">
        <x:v>specs.architecture
specs.generation
specs.release_date
specs.launch_period
specs.vram_gb
specs.memory_type
specs.memory_bus_bits</x:v>
      </x:c>
      <x:c r="H253" s="121" t="str">
        <x:v>Codex</x:v>
      </x:c>
      <x:c r="I253" s="121" t="str">
        <x:v>公式世代ページ・製品情報を基準に記録。日付を確定できない派生SKUは月または四半期精度。</x:v>
      </x:c>
    </x:row>
    <x:row r="254" ht="58" customHeight="1">
      <x:c r="A254" t="str">
        <x:v>amd-radeon-rx-7600-passmark</x:v>
      </x:c>
      <x:c r="B254" t="str">
        <x:v>amd-radeon-rx-7600</x:v>
      </x:c>
      <x:c r="C254" t="str">
        <x:v>technical_database</x:v>
      </x:c>
      <x:c r="D254" s="121" t="str">
        <x:v>Radeon RX 7600 PassMark benchmark</x:v>
      </x:c>
      <x:c r="E254" s="121" t="str">
        <x:v>https://www.videocardbenchmark.net/video_lookup.php?gpu=Radeon+RX+7600&amp;id=4832</x:v>
      </x:c>
      <x:c r="F254" s="125" t="n">
        <x:v>46218</x:v>
      </x:c>
      <x:c r="G254" s="121" t="str">
        <x:v>specs.passmark_g3d_mark
specs.passmark_g2d_mark
specs.benchmark_reported_tdp_w
specs.passmark_checked_at</x:v>
      </x:c>
      <x:c r="H254" s="121" t="str">
        <x:v>Codex</x:v>
      </x:c>
      <x:c r="I254" s="121" t="str">
        <x:v>GPU Mega Page（最終更新2026-07-14）から取得。投稿サンプル更新により変動します。</x:v>
      </x:c>
    </x:row>
    <x:row r="255" ht="58" customHeight="1">
      <x:c r="A255" t="str">
        <x:v>amd-radeon-rx-7600-xt-official</x:v>
      </x:c>
      <x:c r="B255" t="str">
        <x:v>amd-radeon-rx-7600-xt</x:v>
      </x:c>
      <x:c r="C255" t="str">
        <x:v>manufacturer</x:v>
      </x:c>
      <x:c r="D255" s="121" t="str">
        <x:v>AMD Radeon RX 7600 XT 公式世代・仕様情報</x:v>
      </x:c>
      <x:c r="E255" s="121" t="str">
        <x:v>https://www.amd.com/en/products/graphics/desktops/radeon.html</x:v>
      </x:c>
      <x:c r="F255" s="125" t="n">
        <x:v>46218</x:v>
      </x:c>
      <x:c r="G255" s="121" t="str">
        <x:v>specs.architecture
specs.generation
specs.release_date
specs.launch_period
specs.vram_gb
specs.memory_type
specs.memory_bus_bits</x:v>
      </x:c>
      <x:c r="H255" s="121" t="str">
        <x:v>Codex</x:v>
      </x:c>
      <x:c r="I255" s="121" t="str">
        <x:v>公式世代ページ・製品情報を基準に記録。日付を確定できない派生SKUは月または四半期精度。</x:v>
      </x:c>
    </x:row>
    <x:row r="256" ht="58" customHeight="1">
      <x:c r="A256" t="str">
        <x:v>amd-radeon-rx-7600-xt-passmark</x:v>
      </x:c>
      <x:c r="B256" t="str">
        <x:v>amd-radeon-rx-7600-xt</x:v>
      </x:c>
      <x:c r="C256" t="str">
        <x:v>technical_database</x:v>
      </x:c>
      <x:c r="D256" s="121" t="str">
        <x:v>Radeon RX 7600 XT PassMark benchmark</x:v>
      </x:c>
      <x:c r="E256" s="121" t="str">
        <x:v>https://www.videocardbenchmark.net/video_lookup.php?gpu=Radeon+RX+7600+XT&amp;id=4982</x:v>
      </x:c>
      <x:c r="F256" s="125" t="n">
        <x:v>46218</x:v>
      </x:c>
      <x:c r="G256" s="121" t="str">
        <x:v>specs.passmark_g3d_mark
specs.passmark_g2d_mark
specs.benchmark_reported_tdp_w
specs.passmark_checked_at</x:v>
      </x:c>
      <x:c r="H256" s="121" t="str">
        <x:v>Codex</x:v>
      </x:c>
      <x:c r="I256" s="121" t="str">
        <x:v>GPU Mega Page（最終更新2026-07-14）から取得。投稿サンプル更新により変動します。</x:v>
      </x:c>
    </x:row>
    <x:row r="257" ht="58" customHeight="1">
      <x:c r="A257" t="str">
        <x:v>amd-radeon-rx-7700-xt-official</x:v>
      </x:c>
      <x:c r="B257" t="str">
        <x:v>amd-radeon-rx-7700-xt</x:v>
      </x:c>
      <x:c r="C257" t="str">
        <x:v>manufacturer</x:v>
      </x:c>
      <x:c r="D257" s="121" t="str">
        <x:v>AMD Radeon RX 7700 XT 公式世代・仕様情報</x:v>
      </x:c>
      <x:c r="E257" s="121" t="str">
        <x:v>https://www.amd.com/en/products/graphics/desktops/radeon.html</x:v>
      </x:c>
      <x:c r="F257" s="125" t="n">
        <x:v>46218</x:v>
      </x:c>
      <x:c r="G257" s="121" t="str">
        <x:v>specs.architecture
specs.generation
specs.release_date
specs.launch_period
specs.vram_gb
specs.memory_type
specs.memory_bus_bits</x:v>
      </x:c>
      <x:c r="H257" s="121" t="str">
        <x:v>Codex</x:v>
      </x:c>
      <x:c r="I257" s="121" t="str">
        <x:v>公式世代ページ・製品情報を基準に記録。日付を確定できない派生SKUは月または四半期精度。</x:v>
      </x:c>
    </x:row>
    <x:row r="258" ht="58" customHeight="1">
      <x:c r="A258" t="str">
        <x:v>amd-radeon-rx-7700-xt-passmark</x:v>
      </x:c>
      <x:c r="B258" t="str">
        <x:v>amd-radeon-rx-7700-xt</x:v>
      </x:c>
      <x:c r="C258" t="str">
        <x:v>technical_database</x:v>
      </x:c>
      <x:c r="D258" s="121" t="str">
        <x:v>Radeon RX 7700 XT PassMark benchmark</x:v>
      </x:c>
      <x:c r="E258" s="121" t="str">
        <x:v>https://www.videocardbenchmark.net/video_lookup.php?gpu=Radeon+RX+7700+XT&amp;id=4919</x:v>
      </x:c>
      <x:c r="F258" s="125" t="n">
        <x:v>46218</x:v>
      </x:c>
      <x:c r="G258" s="121" t="str">
        <x:v>specs.passmark_g3d_mark
specs.passmark_g2d_mark
specs.benchmark_reported_tdp_w
specs.passmark_checked_at</x:v>
      </x:c>
      <x:c r="H258" s="121" t="str">
        <x:v>Codex</x:v>
      </x:c>
      <x:c r="I258" s="121" t="str">
        <x:v>GPU Mega Page（最終更新2026-07-14）から取得。投稿サンプル更新により変動します。</x:v>
      </x:c>
    </x:row>
    <x:row r="259" ht="58" customHeight="1">
      <x:c r="A259" t="str">
        <x:v>amd-radeon-rx-7800-xt-official</x:v>
      </x:c>
      <x:c r="B259" t="str">
        <x:v>amd-radeon-rx-7800-xt</x:v>
      </x:c>
      <x:c r="C259" t="str">
        <x:v>manufacturer</x:v>
      </x:c>
      <x:c r="D259" s="121" t="str">
        <x:v>AMD Radeon RX 7800 XT 公式世代・仕様情報</x:v>
      </x:c>
      <x:c r="E259" s="121" t="str">
        <x:v>https://www.amd.com/en/products/graphics/desktops/radeon.html</x:v>
      </x:c>
      <x:c r="F259" s="125" t="n">
        <x:v>46218</x:v>
      </x:c>
      <x:c r="G259" s="121" t="str">
        <x:v>specs.architecture
specs.generation
specs.release_date
specs.launch_period
specs.vram_gb
specs.memory_type
specs.memory_bus_bits</x:v>
      </x:c>
      <x:c r="H259" s="121" t="str">
        <x:v>Codex</x:v>
      </x:c>
      <x:c r="I259" s="121" t="str">
        <x:v>公式世代ページ・製品情報を基準に記録。日付を確定できない派生SKUは月または四半期精度。</x:v>
      </x:c>
    </x:row>
    <x:row r="260" ht="58" customHeight="1">
      <x:c r="A260" t="str">
        <x:v>amd-radeon-rx-7800-xt-passmark</x:v>
      </x:c>
      <x:c r="B260" t="str">
        <x:v>amd-radeon-rx-7800-xt</x:v>
      </x:c>
      <x:c r="C260" t="str">
        <x:v>technical_database</x:v>
      </x:c>
      <x:c r="D260" s="121" t="str">
        <x:v>Radeon RX 7800 XT PassMark benchmark</x:v>
      </x:c>
      <x:c r="E260" s="121" t="str">
        <x:v>https://www.videocardbenchmark.net/video_lookup.php?gpu=Radeon+RX+7800+XT&amp;id=4917</x:v>
      </x:c>
      <x:c r="F260" s="125" t="n">
        <x:v>46218</x:v>
      </x:c>
      <x:c r="G260" s="121" t="str">
        <x:v>specs.passmark_g3d_mark
specs.passmark_g2d_mark
specs.benchmark_reported_tdp_w
specs.passmark_checked_at</x:v>
      </x:c>
      <x:c r="H260" s="121" t="str">
        <x:v>Codex</x:v>
      </x:c>
      <x:c r="I260" s="121" t="str">
        <x:v>GPU Mega Page（最終更新2026-07-14）から取得。投稿サンプル更新により変動します。</x:v>
      </x:c>
    </x:row>
    <x:row r="261" ht="58" customHeight="1">
      <x:c r="A261" t="str">
        <x:v>amd-radeon-rx-7900-gre-official</x:v>
      </x:c>
      <x:c r="B261" t="str">
        <x:v>amd-radeon-rx-7900-gre</x:v>
      </x:c>
      <x:c r="C261" t="str">
        <x:v>manufacturer</x:v>
      </x:c>
      <x:c r="D261" s="121" t="str">
        <x:v>AMD Radeon RX 7900 GRE 公式世代・仕様情報</x:v>
      </x:c>
      <x:c r="E261" s="121" t="str">
        <x:v>https://www.amd.com/en/products/graphics/desktops/radeon.html</x:v>
      </x:c>
      <x:c r="F261" s="125" t="n">
        <x:v>46218</x:v>
      </x:c>
      <x:c r="G261" s="121" t="str">
        <x:v>specs.architecture
specs.generation
specs.release_date
specs.launch_period
specs.vram_gb
specs.memory_type
specs.memory_bus_bits</x:v>
      </x:c>
      <x:c r="H261" s="121" t="str">
        <x:v>Codex</x:v>
      </x:c>
      <x:c r="I261" s="121" t="str">
        <x:v>公式世代ページ・製品情報を基準に記録。日付を確定できない派生SKUは月または四半期精度。</x:v>
      </x:c>
    </x:row>
    <x:row r="262" ht="58" customHeight="1">
      <x:c r="A262" t="str">
        <x:v>amd-radeon-rx-7900-gre-passmark</x:v>
      </x:c>
      <x:c r="B262" t="str">
        <x:v>amd-radeon-rx-7900-gre</x:v>
      </x:c>
      <x:c r="C262" t="str">
        <x:v>technical_database</x:v>
      </x:c>
      <x:c r="D262" s="121" t="str">
        <x:v>Radeon RX 7900 GRE PassMark benchmark</x:v>
      </x:c>
      <x:c r="E262" s="121" t="str">
        <x:v>https://www.videocardbenchmark.net/video_lookup.php?gpu=Radeon+RX+7900+GRE&amp;id=4906</x:v>
      </x:c>
      <x:c r="F262" s="125" t="n">
        <x:v>46218</x:v>
      </x:c>
      <x:c r="G262" s="121" t="str">
        <x:v>specs.passmark_g3d_mark
specs.passmark_g2d_mark
specs.benchmark_reported_tdp_w
specs.passmark_checked_at</x:v>
      </x:c>
      <x:c r="H262" s="121" t="str">
        <x:v>Codex</x:v>
      </x:c>
      <x:c r="I262" s="121" t="str">
        <x:v>GPU Mega Page（最終更新2026-07-14）から取得。投稿サンプル更新により変動します。</x:v>
      </x:c>
    </x:row>
    <x:row r="263" ht="58" customHeight="1">
      <x:c r="A263" t="str">
        <x:v>amd-radeon-rx-7900-xt-official</x:v>
      </x:c>
      <x:c r="B263" t="str">
        <x:v>amd-radeon-rx-7900-xt</x:v>
      </x:c>
      <x:c r="C263" t="str">
        <x:v>manufacturer</x:v>
      </x:c>
      <x:c r="D263" s="121" t="str">
        <x:v>AMD Radeon RX 7900 XT 公式世代・仕様情報</x:v>
      </x:c>
      <x:c r="E263" s="121" t="str">
        <x:v>https://www.amd.com/en/products/graphics/desktops/radeon.html</x:v>
      </x:c>
      <x:c r="F263" s="125" t="n">
        <x:v>46218</x:v>
      </x:c>
      <x:c r="G263" s="121" t="str">
        <x:v>specs.architecture
specs.generation
specs.release_date
specs.launch_period
specs.vram_gb
specs.memory_type
specs.memory_bus_bits</x:v>
      </x:c>
      <x:c r="H263" s="121" t="str">
        <x:v>Codex</x:v>
      </x:c>
      <x:c r="I263" s="121" t="str">
        <x:v>公式世代ページ・製品情報を基準に記録。日付を確定できない派生SKUは月または四半期精度。</x:v>
      </x:c>
    </x:row>
    <x:row r="264" ht="58" customHeight="1">
      <x:c r="A264" t="str">
        <x:v>amd-radeon-rx-7900-xt-passmark</x:v>
      </x:c>
      <x:c r="B264" t="str">
        <x:v>amd-radeon-rx-7900-xt</x:v>
      </x:c>
      <x:c r="C264" t="str">
        <x:v>technical_database</x:v>
      </x:c>
      <x:c r="D264" s="121" t="str">
        <x:v>Radeon RX 7900 XT PassMark benchmark</x:v>
      </x:c>
      <x:c r="E264" s="121" t="str">
        <x:v>https://www.videocardbenchmark.net/video_lookup.php?gpu=Radeon+RX+7900+XT&amp;id=4646</x:v>
      </x:c>
      <x:c r="F264" s="125" t="n">
        <x:v>46218</x:v>
      </x:c>
      <x:c r="G264" s="121" t="str">
        <x:v>specs.passmark_g3d_mark
specs.passmark_g2d_mark
specs.benchmark_reported_tdp_w
specs.passmark_checked_at</x:v>
      </x:c>
      <x:c r="H264" s="121" t="str">
        <x:v>Codex</x:v>
      </x:c>
      <x:c r="I264" s="121" t="str">
        <x:v>GPU Mega Page（最終更新2026-07-14）から取得。投稿サンプル更新により変動します。</x:v>
      </x:c>
    </x:row>
    <x:row r="265" ht="58" customHeight="1">
      <x:c r="A265" t="str">
        <x:v>amd-radeon-rx-7900-xtx-official</x:v>
      </x:c>
      <x:c r="B265" t="str">
        <x:v>amd-radeon-rx-7900-xtx</x:v>
      </x:c>
      <x:c r="C265" t="str">
        <x:v>manufacturer</x:v>
      </x:c>
      <x:c r="D265" s="121" t="str">
        <x:v>AMD Radeon RX 7900 XTX 公式世代・仕様情報</x:v>
      </x:c>
      <x:c r="E265" s="121" t="str">
        <x:v>https://www.amd.com/en/products/graphics/desktops/radeon.html</x:v>
      </x:c>
      <x:c r="F265" s="125" t="n">
        <x:v>46218</x:v>
      </x:c>
      <x:c r="G265" s="121" t="str">
        <x:v>specs.architecture
specs.generation
specs.release_date
specs.launch_period
specs.vram_gb
specs.memory_type
specs.memory_bus_bits</x:v>
      </x:c>
      <x:c r="H265" s="121" t="str">
        <x:v>Codex</x:v>
      </x:c>
      <x:c r="I265" s="121" t="str">
        <x:v>公式世代ページ・製品情報を基準に記録。日付を確定できない派生SKUは月または四半期精度。</x:v>
      </x:c>
    </x:row>
    <x:row r="266" ht="58" customHeight="1">
      <x:c r="A266" t="str">
        <x:v>amd-radeon-rx-7900-xtx-passmark</x:v>
      </x:c>
      <x:c r="B266" t="str">
        <x:v>amd-radeon-rx-7900-xtx</x:v>
      </x:c>
      <x:c r="C266" t="str">
        <x:v>technical_database</x:v>
      </x:c>
      <x:c r="D266" s="121" t="str">
        <x:v>Radeon RX 7900 XTX PassMark benchmark</x:v>
      </x:c>
      <x:c r="E266" s="121" t="str">
        <x:v>https://www.videocardbenchmark.net/video_lookup.php?gpu=Radeon+RX+7900+XTX&amp;id=4644</x:v>
      </x:c>
      <x:c r="F266" s="125" t="n">
        <x:v>46218</x:v>
      </x:c>
      <x:c r="G266" s="121" t="str">
        <x:v>specs.passmark_g3d_mark
specs.passmark_g2d_mark
specs.benchmark_reported_tdp_w
specs.passmark_checked_at</x:v>
      </x:c>
      <x:c r="H266" s="121" t="str">
        <x:v>Codex</x:v>
      </x:c>
      <x:c r="I266" s="121" t="str">
        <x:v>GPU Mega Page（最終更新2026-07-14）から取得。投稿サンプル更新により変動します。</x:v>
      </x:c>
    </x:row>
    <x:row r="267" ht="58" customHeight="1">
      <x:c r="A267" t="str">
        <x:v>amd-radeon-rx-9060-official</x:v>
      </x:c>
      <x:c r="B267" t="str">
        <x:v>amd-radeon-rx-9060</x:v>
      </x:c>
      <x:c r="C267" t="str">
        <x:v>manufacturer</x:v>
      </x:c>
      <x:c r="D267" s="121" t="str">
        <x:v>AMD Radeon RX 9060 公式世代・仕様情報</x:v>
      </x:c>
      <x:c r="E267" s="121" t="str">
        <x:v>https://www.amd.com/en/products/graphics/desktops/radeon.html</x:v>
      </x:c>
      <x:c r="F267" s="125" t="n">
        <x:v>46218</x:v>
      </x:c>
      <x:c r="G267" s="121" t="str">
        <x:v>specs.architecture
specs.generation
specs.launch_period
specs.vram_gb
specs.memory_type
specs.memory_bus_bits</x:v>
      </x:c>
      <x:c r="H267" s="121" t="str">
        <x:v>Codex</x:v>
      </x:c>
      <x:c r="I267" s="121" t="str">
        <x:v>公式世代ページ・製品情報を基準に記録。日付を確定できない派生SKUは月または四半期精度。</x:v>
      </x:c>
    </x:row>
    <x:row r="268" ht="58" customHeight="1">
      <x:c r="A268" t="str">
        <x:v>amd-radeon-rx-9060-passmark</x:v>
      </x:c>
      <x:c r="B268" t="str">
        <x:v>amd-radeon-rx-9060</x:v>
      </x:c>
      <x:c r="C268" t="str">
        <x:v>technical_database</x:v>
      </x:c>
      <x:c r="D268" s="121" t="str">
        <x:v>Radeon RX 9060 PassMark benchmark</x:v>
      </x:c>
      <x:c r="E268" s="121" t="str">
        <x:v>https://www.videocardbenchmark.net/video_lookup.php?gpu=Radeon+RX+9060&amp;id=7294</x:v>
      </x:c>
      <x:c r="F268" s="125" t="n">
        <x:v>46218</x:v>
      </x:c>
      <x:c r="G268" s="121" t="str">
        <x:v>specs.passmark_g3d_mark
specs.passmark_g2d_mark
specs.benchmark_reported_tdp_w
specs.passmark_checked_at</x:v>
      </x:c>
      <x:c r="H268" s="121" t="str">
        <x:v>Codex</x:v>
      </x:c>
      <x:c r="I268" s="121" t="str">
        <x:v>GPU Mega Page（最終更新2026-07-14）から取得。投稿サンプル更新により変動します。</x:v>
      </x:c>
    </x:row>
    <x:row r="269" ht="58" customHeight="1">
      <x:c r="A269" t="str">
        <x:v>amd-radeon-rx-9060-xt-16gb-official</x:v>
      </x:c>
      <x:c r="B269" t="str">
        <x:v>amd-radeon-rx-9060-xt-16gb</x:v>
      </x:c>
      <x:c r="C269" t="str">
        <x:v>manufacturer</x:v>
      </x:c>
      <x:c r="D269" s="121" t="str">
        <x:v>AMD Radeon RX 9060 XT 16GB 公式世代・仕様情報</x:v>
      </x:c>
      <x:c r="E269" s="121" t="str">
        <x:v>https://www.amd.com/en/products/graphics/desktops/radeon.html</x:v>
      </x:c>
      <x:c r="F269" s="125" t="n">
        <x:v>46218</x:v>
      </x:c>
      <x:c r="G269" s="121" t="str">
        <x:v>specs.architecture
specs.generation
specs.release_date
specs.launch_period
specs.vram_gb
specs.memory_type
specs.memory_bus_bits</x:v>
      </x:c>
      <x:c r="H269" s="121" t="str">
        <x:v>Codex</x:v>
      </x:c>
      <x:c r="I269" s="121" t="str">
        <x:v>公式世代ページ・製品情報を基準に記録。日付を確定できない派生SKUは月または四半期精度。</x:v>
      </x:c>
    </x:row>
    <x:row r="270" ht="58" customHeight="1">
      <x:c r="A270" t="str">
        <x:v>amd-radeon-rx-9060-xt-16gb-passmark</x:v>
      </x:c>
      <x:c r="B270" t="str">
        <x:v>amd-radeon-rx-9060-xt-16gb</x:v>
      </x:c>
      <x:c r="C270" t="str">
        <x:v>technical_database</x:v>
      </x:c>
      <x:c r="D270" s="121" t="str">
        <x:v>Radeon RX 9060 XT 16GB PassMark benchmark</x:v>
      </x:c>
      <x:c r="E270" s="121" t="str">
        <x:v>https://www.videocardbenchmark.net/video_lookup.php?gpu=Radeon+RX+9060+XT+16GB&amp;id=5957</x:v>
      </x:c>
      <x:c r="F270" s="125" t="n">
        <x:v>46218</x:v>
      </x:c>
      <x:c r="G270" s="121" t="str">
        <x:v>specs.passmark_g3d_mark
specs.passmark_g2d_mark
specs.benchmark_reported_tdp_w
specs.passmark_checked_at</x:v>
      </x:c>
      <x:c r="H270" s="121" t="str">
        <x:v>Codex</x:v>
      </x:c>
      <x:c r="I270" s="121" t="str">
        <x:v>GPU Mega Page（最終更新2026-07-14）から取得。投稿サンプル更新により変動します。</x:v>
      </x:c>
    </x:row>
    <x:row r="271" ht="58" customHeight="1">
      <x:c r="A271" t="str">
        <x:v>amd-radeon-rx-9060-xt-8gb-official</x:v>
      </x:c>
      <x:c r="B271" t="str">
        <x:v>amd-radeon-rx-9060-xt-8gb</x:v>
      </x:c>
      <x:c r="C271" t="str">
        <x:v>manufacturer</x:v>
      </x:c>
      <x:c r="D271" s="121" t="str">
        <x:v>AMD Radeon RX 9060 XT 8GB 公式世代・仕様情報</x:v>
      </x:c>
      <x:c r="E271" s="121" t="str">
        <x:v>https://www.amd.com/en/products/graphics/desktops/radeon.html</x:v>
      </x:c>
      <x:c r="F271" s="125" t="n">
        <x:v>46218</x:v>
      </x:c>
      <x:c r="G271" s="121" t="str">
        <x:v>specs.architecture
specs.generation
specs.release_date
specs.launch_period
specs.vram_gb
specs.memory_type
specs.memory_bus_bits</x:v>
      </x:c>
      <x:c r="H271" s="121" t="str">
        <x:v>Codex</x:v>
      </x:c>
      <x:c r="I271" s="121" t="str">
        <x:v>公式世代ページ・製品情報を基準に記録。日付を確定できない派生SKUは月または四半期精度。</x:v>
      </x:c>
    </x:row>
    <x:row r="272" ht="58" customHeight="1">
      <x:c r="A272" t="str">
        <x:v>amd-radeon-rx-9060-xt-8gb-passmark</x:v>
      </x:c>
      <x:c r="B272" t="str">
        <x:v>amd-radeon-rx-9060-xt-8gb</x:v>
      </x:c>
      <x:c r="C272" t="str">
        <x:v>technical_database</x:v>
      </x:c>
      <x:c r="D272" s="121" t="str">
        <x:v>Radeon RX 9060 XT 8GB PassMark benchmark</x:v>
      </x:c>
      <x:c r="E272" s="121" t="str">
        <x:v>https://www.videocardbenchmark.net/video_lookup.php?gpu=Radeon+RX+9060+XT+8GB&amp;id=6575</x:v>
      </x:c>
      <x:c r="F272" s="125" t="n">
        <x:v>46218</x:v>
      </x:c>
      <x:c r="G272" s="121" t="str">
        <x:v>specs.passmark_g3d_mark
specs.passmark_g2d_mark
specs.benchmark_reported_tdp_w
specs.passmark_checked_at</x:v>
      </x:c>
      <x:c r="H272" s="121" t="str">
        <x:v>Codex</x:v>
      </x:c>
      <x:c r="I272" s="121" t="str">
        <x:v>GPU Mega Page（最終更新2026-07-14）から取得。投稿サンプル更新により変動します。</x:v>
      </x:c>
    </x:row>
    <x:row r="273" ht="58" customHeight="1">
      <x:c r="A273" t="str">
        <x:v>amd-radeon-rx-9070-official</x:v>
      </x:c>
      <x:c r="B273" t="str">
        <x:v>amd-radeon-rx-9070</x:v>
      </x:c>
      <x:c r="C273" t="str">
        <x:v>manufacturer</x:v>
      </x:c>
      <x:c r="D273" s="121" t="str">
        <x:v>AMD Radeon RX 9070 公式世代・仕様情報</x:v>
      </x:c>
      <x:c r="E273" s="121" t="str">
        <x:v>https://www.amd.com/en/products/graphics/desktops/radeon.html</x:v>
      </x:c>
      <x:c r="F273" s="125" t="n">
        <x:v>46218</x:v>
      </x:c>
      <x:c r="G273" s="121" t="str">
        <x:v>specs.architecture
specs.generation
specs.release_date
specs.launch_period
specs.vram_gb
specs.memory_type
specs.memory_bus_bits</x:v>
      </x:c>
      <x:c r="H273" s="121" t="str">
        <x:v>Codex</x:v>
      </x:c>
      <x:c r="I273" s="121" t="str">
        <x:v>公式世代ページ・製品情報を基準に記録。日付を確定できない派生SKUは月または四半期精度。</x:v>
      </x:c>
    </x:row>
    <x:row r="274" ht="58" customHeight="1">
      <x:c r="A274" t="str">
        <x:v>amd-radeon-rx-9070-passmark</x:v>
      </x:c>
      <x:c r="B274" t="str">
        <x:v>amd-radeon-rx-9070</x:v>
      </x:c>
      <x:c r="C274" t="str">
        <x:v>technical_database</x:v>
      </x:c>
      <x:c r="D274" s="121" t="str">
        <x:v>Radeon RX 9070 PassMark benchmark</x:v>
      </x:c>
      <x:c r="E274" s="121" t="str">
        <x:v>https://www.videocardbenchmark.net/video_lookup.php?gpu=Radeon+RX+9070&amp;id=5958</x:v>
      </x:c>
      <x:c r="F274" s="125" t="n">
        <x:v>46218</x:v>
      </x:c>
      <x:c r="G274" s="121" t="str">
        <x:v>specs.passmark_g3d_mark
specs.passmark_g2d_mark
specs.benchmark_reported_tdp_w
specs.passmark_checked_at</x:v>
      </x:c>
      <x:c r="H274" s="121" t="str">
        <x:v>Codex</x:v>
      </x:c>
      <x:c r="I274" s="121" t="str">
        <x:v>GPU Mega Page（最終更新2026-07-14）から取得。投稿サンプル更新により変動します。</x:v>
      </x:c>
    </x:row>
    <x:row r="275" ht="58" customHeight="1">
      <x:c r="A275" t="str">
        <x:v>amd-radeon-rx-9070-gre-official</x:v>
      </x:c>
      <x:c r="B275" t="str">
        <x:v>amd-radeon-rx-9070-gre</x:v>
      </x:c>
      <x:c r="C275" t="str">
        <x:v>manufacturer</x:v>
      </x:c>
      <x:c r="D275" s="121" t="str">
        <x:v>AMD Radeon RX 9070 GRE 公式世代・仕様情報</x:v>
      </x:c>
      <x:c r="E275" s="121" t="str">
        <x:v>https://www.amd.com/en/products/graphics/desktops/radeon.html</x:v>
      </x:c>
      <x:c r="F275" s="125" t="n">
        <x:v>46218</x:v>
      </x:c>
      <x:c r="G275" s="121" t="str">
        <x:v>specs.architecture
specs.generation
specs.release_date
specs.launch_period
specs.vram_gb
specs.memory_type
specs.memory_bus_bits</x:v>
      </x:c>
      <x:c r="H275" s="121" t="str">
        <x:v>Codex</x:v>
      </x:c>
      <x:c r="I275" s="121" t="str">
        <x:v>公式世代ページ・製品情報を基準に記録。日付を確定できない派生SKUは月または四半期精度。</x:v>
      </x:c>
    </x:row>
    <x:row r="276" ht="58" customHeight="1">
      <x:c r="A276" t="str">
        <x:v>amd-radeon-rx-9070-gre-passmark</x:v>
      </x:c>
      <x:c r="B276" t="str">
        <x:v>amd-radeon-rx-9070-gre</x:v>
      </x:c>
      <x:c r="C276" t="str">
        <x:v>technical_database</x:v>
      </x:c>
      <x:c r="D276" s="121" t="str">
        <x:v>Radeon RX 9070 GRE PassMark benchmark</x:v>
      </x:c>
      <x:c r="E276" s="121" t="str">
        <x:v>https://www.videocardbenchmark.net/video_lookup.php?gpu=Radeon+RX+9070+GRE&amp;id=6421</x:v>
      </x:c>
      <x:c r="F276" s="125" t="n">
        <x:v>46218</x:v>
      </x:c>
      <x:c r="G276" s="121" t="str">
        <x:v>specs.passmark_g3d_mark
specs.passmark_g2d_mark
specs.benchmark_reported_tdp_w
specs.passmark_checked_at</x:v>
      </x:c>
      <x:c r="H276" s="121" t="str">
        <x:v>Codex</x:v>
      </x:c>
      <x:c r="I276" s="121" t="str">
        <x:v>GPU Mega Page（最終更新2026-07-14）から取得。投稿サンプル更新により変動します。</x:v>
      </x:c>
    </x:row>
    <x:row r="277" ht="58" customHeight="1">
      <x:c r="A277" t="str">
        <x:v>amd-radeon-rx-9070-xt-official</x:v>
      </x:c>
      <x:c r="B277" t="str">
        <x:v>amd-radeon-rx-9070-xt</x:v>
      </x:c>
      <x:c r="C277" t="str">
        <x:v>manufacturer</x:v>
      </x:c>
      <x:c r="D277" s="121" t="str">
        <x:v>AMD Radeon RX 9070 XT 公式世代・仕様情報</x:v>
      </x:c>
      <x:c r="E277" s="121" t="str">
        <x:v>https://www.amd.com/en/products/graphics/desktops/radeon.html</x:v>
      </x:c>
      <x:c r="F277" s="125" t="n">
        <x:v>46218</x:v>
      </x:c>
      <x:c r="G277" s="121" t="str">
        <x:v>specs.architecture
specs.generation
specs.release_date
specs.launch_period
specs.vram_gb
specs.memory_type
specs.memory_bus_bits</x:v>
      </x:c>
      <x:c r="H277" s="121" t="str">
        <x:v>Codex</x:v>
      </x:c>
      <x:c r="I277" s="121" t="str">
        <x:v>公式世代ページ・製品情報を基準に記録。日付を確定できない派生SKUは月または四半期精度。</x:v>
      </x:c>
    </x:row>
    <x:row r="278" ht="58" customHeight="1">
      <x:c r="A278" t="str">
        <x:v>amd-radeon-rx-9070-xt-passmark</x:v>
      </x:c>
      <x:c r="B278" t="str">
        <x:v>amd-radeon-rx-9070-xt</x:v>
      </x:c>
      <x:c r="C278" t="str">
        <x:v>technical_database</x:v>
      </x:c>
      <x:c r="D278" s="121" t="str">
        <x:v>Radeon RX 9070 XT PassMark benchmark</x:v>
      </x:c>
      <x:c r="E278" s="121" t="str">
        <x:v>https://www.videocardbenchmark.net/video_lookup.php?gpu=Radeon+RX+9070+XT&amp;id=5956</x:v>
      </x:c>
      <x:c r="F278" s="125" t="n">
        <x:v>46218</x:v>
      </x:c>
      <x:c r="G278" s="121" t="str">
        <x:v>specs.passmark_g3d_mark
specs.passmark_g2d_mark
specs.benchmark_reported_tdp_w
specs.passmark_checked_at</x:v>
      </x:c>
      <x:c r="H278" s="121" t="str">
        <x:v>Codex</x:v>
      </x:c>
      <x:c r="I278" s="121" t="str">
        <x:v>GPU Mega Page（最終更新2026-07-14）から取得。投稿サンプル更新により変動します。</x:v>
      </x:c>
    </x:row>
    <x:row r="279" ht="58" customHeight="1">
      <x:c r="A279" t="str">
        <x:v>nvidia-geforce-rtx-2060-12gb-official</x:v>
      </x:c>
      <x:c r="B279" t="str">
        <x:v>nvidia-geforce-rtx-2060-12gb</x:v>
      </x:c>
      <x:c r="C279" t="str">
        <x:v>manufacturer</x:v>
      </x:c>
      <x:c r="D279" s="121" t="str">
        <x:v>NVIDIA GeForce RTX 2060 12GB 公式世代・仕様情報</x:v>
      </x:c>
      <x:c r="E279" s="121" t="str">
        <x:v>https://www.nvidia.com/en-us/geforce/20-series/</x:v>
      </x:c>
      <x:c r="F279" s="125" t="n">
        <x:v>46218</x:v>
      </x:c>
      <x:c r="G279" s="121" t="str">
        <x:v>specs.architecture
specs.generation
specs.release_date
specs.launch_period
specs.vram_gb
specs.memory_type
specs.memory_bus_bits</x:v>
      </x:c>
      <x:c r="H279" s="121" t="str">
        <x:v>Codex</x:v>
      </x:c>
      <x:c r="I279" s="121" t="str">
        <x:v>公式世代ページ・製品情報を基準に記録。日付を確定できない派生SKUは月または四半期精度。</x:v>
      </x:c>
    </x:row>
    <x:row r="280" ht="58" customHeight="1">
      <x:c r="A280" t="str">
        <x:v>nvidia-geforce-rtx-2060-12gb-passmark</x:v>
      </x:c>
      <x:c r="B280" t="str">
        <x:v>nvidia-geforce-rtx-2060-12gb</x:v>
      </x:c>
      <x:c r="C280" t="str">
        <x:v>technical_database</x:v>
      </x:c>
      <x:c r="D280" s="121" t="str">
        <x:v>GeForce RTX 2060 12GB PassMark benchmark</x:v>
      </x:c>
      <x:c r="E280" s="121" t="str">
        <x:v>https://www.videocardbenchmark.net/video_lookup.php?gpu=GeForce+RTX+2060+12GB&amp;id=4602</x:v>
      </x:c>
      <x:c r="F280" s="125" t="n">
        <x:v>46218</x:v>
      </x:c>
      <x:c r="G280" s="121" t="str">
        <x:v>specs.passmark_g3d_mark
specs.passmark_g2d_mark
specs.benchmark_reported_tdp_w
specs.passmark_checked_at</x:v>
      </x:c>
      <x:c r="H280" s="121" t="str">
        <x:v>Codex</x:v>
      </x:c>
      <x:c r="I280" s="121" t="str">
        <x:v>GPU Mega Page（最終更新2026-07-14）から取得。投稿サンプル更新により変動します。</x:v>
      </x:c>
    </x:row>
    <x:row r="281" ht="58" customHeight="1">
      <x:c r="A281" t="str">
        <x:v>nvidia-geforce-rtx-2060-6gb-official</x:v>
      </x:c>
      <x:c r="B281" t="str">
        <x:v>nvidia-geforce-rtx-2060-6gb</x:v>
      </x:c>
      <x:c r="C281" t="str">
        <x:v>manufacturer</x:v>
      </x:c>
      <x:c r="D281" s="121" t="str">
        <x:v>NVIDIA GeForce RTX 2060 6GB 公式世代・仕様情報</x:v>
      </x:c>
      <x:c r="E281" s="121" t="str">
        <x:v>https://www.nvidia.com/en-us/geforce/20-series/</x:v>
      </x:c>
      <x:c r="F281" s="125" t="n">
        <x:v>46218</x:v>
      </x:c>
      <x:c r="G281" s="121" t="str">
        <x:v>specs.architecture
specs.generation
specs.release_date
specs.launch_period
specs.vram_gb
specs.memory_type
specs.memory_bus_bits</x:v>
      </x:c>
      <x:c r="H281" s="121" t="str">
        <x:v>Codex</x:v>
      </x:c>
      <x:c r="I281" s="121" t="str">
        <x:v>公式世代ページ・製品情報を基準に記録。日付を確定できない派生SKUは月または四半期精度。</x:v>
      </x:c>
    </x:row>
    <x:row r="282" ht="58" customHeight="1">
      <x:c r="A282" t="str">
        <x:v>nvidia-geforce-rtx-2060-6gb-passmark</x:v>
      </x:c>
      <x:c r="B282" t="str">
        <x:v>nvidia-geforce-rtx-2060-6gb</x:v>
      </x:c>
      <x:c r="C282" t="str">
        <x:v>technical_database</x:v>
      </x:c>
      <x:c r="D282" s="121" t="str">
        <x:v>GeForce RTX 2060 PassMark benchmark</x:v>
      </x:c>
      <x:c r="E282" s="121" t="str">
        <x:v>https://www.videocardbenchmark.net/video_lookup.php?gpu=GeForce+RTX+2060&amp;id=4037</x:v>
      </x:c>
      <x:c r="F282" s="125" t="n">
        <x:v>46218</x:v>
      </x:c>
      <x:c r="G282" s="121" t="str">
        <x:v>specs.passmark_g3d_mark
specs.passmark_g2d_mark
specs.benchmark_reported_tdp_w
specs.passmark_checked_at</x:v>
      </x:c>
      <x:c r="H282" s="121" t="str">
        <x:v>Codex</x:v>
      </x:c>
      <x:c r="I282" s="121" t="str">
        <x:v>GPU Mega Page（最終更新2026-07-14）から取得。投稿サンプル更新により変動します。</x:v>
      </x:c>
    </x:row>
    <x:row r="283" ht="58" customHeight="1">
      <x:c r="A283" t="str">
        <x:v>nvidia-geforce-rtx-2060-super-official</x:v>
      </x:c>
      <x:c r="B283" t="str">
        <x:v>nvidia-geforce-rtx-2060-super</x:v>
      </x:c>
      <x:c r="C283" t="str">
        <x:v>manufacturer</x:v>
      </x:c>
      <x:c r="D283" s="121" t="str">
        <x:v>NVIDIA GeForce RTX 2060 SUPER 公式世代・仕様情報</x:v>
      </x:c>
      <x:c r="E283" s="121" t="str">
        <x:v>https://www.nvidia.com/en-us/geforce/20-series/</x:v>
      </x:c>
      <x:c r="F283" s="125" t="n">
        <x:v>46218</x:v>
      </x:c>
      <x:c r="G283" s="121" t="str">
        <x:v>specs.architecture
specs.generation
specs.release_date
specs.launch_period
specs.vram_gb
specs.memory_type
specs.memory_bus_bits</x:v>
      </x:c>
      <x:c r="H283" s="121" t="str">
        <x:v>Codex</x:v>
      </x:c>
      <x:c r="I283" s="121" t="str">
        <x:v>公式世代ページ・製品情報を基準に記録。日付を確定できない派生SKUは月または四半期精度。</x:v>
      </x:c>
    </x:row>
    <x:row r="284" ht="58" customHeight="1">
      <x:c r="A284" t="str">
        <x:v>nvidia-geforce-rtx-2060-super-passmark</x:v>
      </x:c>
      <x:c r="B284" t="str">
        <x:v>nvidia-geforce-rtx-2060-super</x:v>
      </x:c>
      <x:c r="C284" t="str">
        <x:v>technical_database</x:v>
      </x:c>
      <x:c r="D284" s="121" t="str">
        <x:v>GeForce RTX 2060 SUPER PassMark benchmark</x:v>
      </x:c>
      <x:c r="E284" s="121" t="str">
        <x:v>https://www.videocardbenchmark.net/video_lookup.php?gpu=GeForce+RTX+2060+SUPER&amp;id=4117</x:v>
      </x:c>
      <x:c r="F284" s="125" t="n">
        <x:v>46218</x:v>
      </x:c>
      <x:c r="G284" s="121" t="str">
        <x:v>specs.passmark_g3d_mark
specs.passmark_g2d_mark
specs.benchmark_reported_tdp_w
specs.passmark_checked_at</x:v>
      </x:c>
      <x:c r="H284" s="121" t="str">
        <x:v>Codex</x:v>
      </x:c>
      <x:c r="I284" s="121" t="str">
        <x:v>GPU Mega Page（最終更新2026-07-14）から取得。投稿サンプル更新により変動します。</x:v>
      </x:c>
    </x:row>
    <x:row r="285" ht="58" customHeight="1">
      <x:c r="A285" t="str">
        <x:v>nvidia-geforce-rtx-2070-official</x:v>
      </x:c>
      <x:c r="B285" t="str">
        <x:v>nvidia-geforce-rtx-2070</x:v>
      </x:c>
      <x:c r="C285" t="str">
        <x:v>manufacturer</x:v>
      </x:c>
      <x:c r="D285" s="121" t="str">
        <x:v>NVIDIA GeForce RTX 2070 公式世代・仕様情報</x:v>
      </x:c>
      <x:c r="E285" s="121" t="str">
        <x:v>https://www.nvidia.com/en-us/geforce/20-series/</x:v>
      </x:c>
      <x:c r="F285" s="125" t="n">
        <x:v>46218</x:v>
      </x:c>
      <x:c r="G285" s="121" t="str">
        <x:v>specs.architecture
specs.generation
specs.release_date
specs.launch_period
specs.vram_gb
specs.memory_type
specs.memory_bus_bits</x:v>
      </x:c>
      <x:c r="H285" s="121" t="str">
        <x:v>Codex</x:v>
      </x:c>
      <x:c r="I285" s="121" t="str">
        <x:v>公式世代ページ・製品情報を基準に記録。日付を確定できない派生SKUは月または四半期精度。</x:v>
      </x:c>
    </x:row>
    <x:row r="286" ht="58" customHeight="1">
      <x:c r="A286" t="str">
        <x:v>nvidia-geforce-rtx-2070-passmark</x:v>
      </x:c>
      <x:c r="B286" t="str">
        <x:v>nvidia-geforce-rtx-2070</x:v>
      </x:c>
      <x:c r="C286" t="str">
        <x:v>technical_database</x:v>
      </x:c>
      <x:c r="D286" s="121" t="str">
        <x:v>GeForce RTX 2070 PassMark benchmark</x:v>
      </x:c>
      <x:c r="E286" s="121" t="str">
        <x:v>https://www.videocardbenchmark.net/video_lookup.php?gpu=GeForce+RTX+2070&amp;id=4001</x:v>
      </x:c>
      <x:c r="F286" s="125" t="n">
        <x:v>46218</x:v>
      </x:c>
      <x:c r="G286" s="121" t="str">
        <x:v>specs.passmark_g3d_mark
specs.passmark_g2d_mark
specs.benchmark_reported_tdp_w
specs.passmark_checked_at</x:v>
      </x:c>
      <x:c r="H286" s="121" t="str">
        <x:v>Codex</x:v>
      </x:c>
      <x:c r="I286" s="121" t="str">
        <x:v>GPU Mega Page（最終更新2026-07-14）から取得。投稿サンプル更新により変動します。</x:v>
      </x:c>
    </x:row>
    <x:row r="287" ht="58" customHeight="1">
      <x:c r="A287" t="str">
        <x:v>nvidia-geforce-rtx-2070-super-official</x:v>
      </x:c>
      <x:c r="B287" t="str">
        <x:v>nvidia-geforce-rtx-2070-super</x:v>
      </x:c>
      <x:c r="C287" t="str">
        <x:v>manufacturer</x:v>
      </x:c>
      <x:c r="D287" s="121" t="str">
        <x:v>NVIDIA GeForce RTX 2070 SUPER 公式世代・仕様情報</x:v>
      </x:c>
      <x:c r="E287" s="121" t="str">
        <x:v>https://www.nvidia.com/en-us/geforce/20-series/</x:v>
      </x:c>
      <x:c r="F287" s="125" t="n">
        <x:v>46218</x:v>
      </x:c>
      <x:c r="G287" s="121" t="str">
        <x:v>specs.architecture
specs.generation
specs.release_date
specs.launch_period
specs.vram_gb
specs.memory_type
specs.memory_bus_bits</x:v>
      </x:c>
      <x:c r="H287" s="121" t="str">
        <x:v>Codex</x:v>
      </x:c>
      <x:c r="I287" s="121" t="str">
        <x:v>公式世代ページ・製品情報を基準に記録。日付を確定できない派生SKUは月または四半期精度。</x:v>
      </x:c>
    </x:row>
    <x:row r="288" ht="58" customHeight="1">
      <x:c r="A288" t="str">
        <x:v>nvidia-geforce-rtx-2070-super-passmark</x:v>
      </x:c>
      <x:c r="B288" t="str">
        <x:v>nvidia-geforce-rtx-2070-super</x:v>
      </x:c>
      <x:c r="C288" t="str">
        <x:v>technical_database</x:v>
      </x:c>
      <x:c r="D288" s="121" t="str">
        <x:v>GeForce RTX 2070 SUPER PassMark benchmark</x:v>
      </x:c>
      <x:c r="E288" s="121" t="str">
        <x:v>https://www.videocardbenchmark.net/video_lookup.php?gpu=GeForce+RTX+2070+SUPER&amp;id=4116</x:v>
      </x:c>
      <x:c r="F288" s="125" t="n">
        <x:v>46218</x:v>
      </x:c>
      <x:c r="G288" s="121" t="str">
        <x:v>specs.passmark_g3d_mark
specs.passmark_g2d_mark
specs.benchmark_reported_tdp_w
specs.passmark_checked_at</x:v>
      </x:c>
      <x:c r="H288" s="121" t="str">
        <x:v>Codex</x:v>
      </x:c>
      <x:c r="I288" s="121" t="str">
        <x:v>GPU Mega Page（最終更新2026-07-14）から取得。投稿サンプル更新により変動します。</x:v>
      </x:c>
    </x:row>
    <x:row r="289" ht="58" customHeight="1">
      <x:c r="A289" t="str">
        <x:v>nvidia-geforce-rtx-2080-official</x:v>
      </x:c>
      <x:c r="B289" t="str">
        <x:v>nvidia-geforce-rtx-2080</x:v>
      </x:c>
      <x:c r="C289" t="str">
        <x:v>manufacturer</x:v>
      </x:c>
      <x:c r="D289" s="121" t="str">
        <x:v>NVIDIA GeForce RTX 2080 公式世代・仕様情報</x:v>
      </x:c>
      <x:c r="E289" s="121" t="str">
        <x:v>https://www.nvidia.com/en-us/geforce/20-series/</x:v>
      </x:c>
      <x:c r="F289" s="125" t="n">
        <x:v>46218</x:v>
      </x:c>
      <x:c r="G289" s="121" t="str">
        <x:v>specs.architecture
specs.generation
specs.release_date
specs.launch_period
specs.vram_gb
specs.memory_type
specs.memory_bus_bits</x:v>
      </x:c>
      <x:c r="H289" s="121" t="str">
        <x:v>Codex</x:v>
      </x:c>
      <x:c r="I289" s="121" t="str">
        <x:v>公式世代ページ・製品情報を基準に記録。日付を確定できない派生SKUは月または四半期精度。</x:v>
      </x:c>
    </x:row>
    <x:row r="290" ht="58" customHeight="1">
      <x:c r="A290" t="str">
        <x:v>nvidia-geforce-rtx-2080-passmark</x:v>
      </x:c>
      <x:c r="B290" t="str">
        <x:v>nvidia-geforce-rtx-2080</x:v>
      </x:c>
      <x:c r="C290" t="str">
        <x:v>technical_database</x:v>
      </x:c>
      <x:c r="D290" s="121" t="str">
        <x:v>GeForce RTX 2080 PassMark benchmark</x:v>
      </x:c>
      <x:c r="E290" s="121" t="str">
        <x:v>https://www.videocardbenchmark.net/video_lookup.php?gpu=GeForce+RTX+2080&amp;id=3989</x:v>
      </x:c>
      <x:c r="F290" s="125" t="n">
        <x:v>46218</x:v>
      </x:c>
      <x:c r="G290" s="121" t="str">
        <x:v>specs.passmark_g3d_mark
specs.passmark_g2d_mark
specs.benchmark_reported_tdp_w
specs.passmark_checked_at</x:v>
      </x:c>
      <x:c r="H290" s="121" t="str">
        <x:v>Codex</x:v>
      </x:c>
      <x:c r="I290" s="121" t="str">
        <x:v>GPU Mega Page（最終更新2026-07-14）から取得。投稿サンプル更新により変動します。</x:v>
      </x:c>
    </x:row>
    <x:row r="291" ht="58" customHeight="1">
      <x:c r="A291" t="str">
        <x:v>nvidia-geforce-rtx-2080-super-official</x:v>
      </x:c>
      <x:c r="B291" t="str">
        <x:v>nvidia-geforce-rtx-2080-super</x:v>
      </x:c>
      <x:c r="C291" t="str">
        <x:v>manufacturer</x:v>
      </x:c>
      <x:c r="D291" s="121" t="str">
        <x:v>NVIDIA GeForce RTX 2080 SUPER 公式世代・仕様情報</x:v>
      </x:c>
      <x:c r="E291" s="121" t="str">
        <x:v>https://www.nvidia.com/en-us/geforce/20-series/</x:v>
      </x:c>
      <x:c r="F291" s="125" t="n">
        <x:v>46218</x:v>
      </x:c>
      <x:c r="G291" s="121" t="str">
        <x:v>specs.architecture
specs.generation
specs.release_date
specs.launch_period
specs.vram_gb
specs.memory_type
specs.memory_bus_bits</x:v>
      </x:c>
      <x:c r="H291" s="121" t="str">
        <x:v>Codex</x:v>
      </x:c>
      <x:c r="I291" s="121" t="str">
        <x:v>公式世代ページ・製品情報を基準に記録。日付を確定できない派生SKUは月または四半期精度。</x:v>
      </x:c>
    </x:row>
    <x:row r="292" ht="58" customHeight="1">
      <x:c r="A292" t="str">
        <x:v>nvidia-geforce-rtx-2080-super-passmark</x:v>
      </x:c>
      <x:c r="B292" t="str">
        <x:v>nvidia-geforce-rtx-2080-super</x:v>
      </x:c>
      <x:c r="C292" t="str">
        <x:v>technical_database</x:v>
      </x:c>
      <x:c r="D292" s="121" t="str">
        <x:v>GeForce RTX 2080 SUPER PassMark benchmark</x:v>
      </x:c>
      <x:c r="E292" s="121" t="str">
        <x:v>https://www.videocardbenchmark.net/video_lookup.php?gpu=GeForce+RTX+2080+SUPER&amp;id=4123</x:v>
      </x:c>
      <x:c r="F292" s="125" t="n">
        <x:v>46218</x:v>
      </x:c>
      <x:c r="G292" s="121" t="str">
        <x:v>specs.passmark_g3d_mark
specs.passmark_g2d_mark
specs.benchmark_reported_tdp_w
specs.passmark_checked_at</x:v>
      </x:c>
      <x:c r="H292" s="121" t="str">
        <x:v>Codex</x:v>
      </x:c>
      <x:c r="I292" s="121" t="str">
        <x:v>GPU Mega Page（最終更新2026-07-14）から取得。投稿サンプル更新により変動します。</x:v>
      </x:c>
    </x:row>
    <x:row r="293" ht="58" customHeight="1">
      <x:c r="A293" t="str">
        <x:v>nvidia-geforce-rtx-2080-ti-official</x:v>
      </x:c>
      <x:c r="B293" t="str">
        <x:v>nvidia-geforce-rtx-2080-ti</x:v>
      </x:c>
      <x:c r="C293" t="str">
        <x:v>manufacturer</x:v>
      </x:c>
      <x:c r="D293" s="121" t="str">
        <x:v>NVIDIA GeForce RTX 2080 Ti 公式世代・仕様情報</x:v>
      </x:c>
      <x:c r="E293" s="121" t="str">
        <x:v>https://www.nvidia.com/en-us/geforce/20-series/</x:v>
      </x:c>
      <x:c r="F293" s="125" t="n">
        <x:v>46218</x:v>
      </x:c>
      <x:c r="G293" s="121" t="str">
        <x:v>specs.architecture
specs.generation
specs.release_date
specs.launch_period
specs.vram_gb
specs.memory_type
specs.memory_bus_bits</x:v>
      </x:c>
      <x:c r="H293" s="121" t="str">
        <x:v>Codex</x:v>
      </x:c>
      <x:c r="I293" s="121" t="str">
        <x:v>公式世代ページ・製品情報を基準に記録。日付を確定できない派生SKUは月または四半期精度。</x:v>
      </x:c>
    </x:row>
    <x:row r="294" ht="58" customHeight="1">
      <x:c r="A294" t="str">
        <x:v>nvidia-geforce-rtx-2080-ti-passmark</x:v>
      </x:c>
      <x:c r="B294" t="str">
        <x:v>nvidia-geforce-rtx-2080-ti</x:v>
      </x:c>
      <x:c r="C294" t="str">
        <x:v>technical_database</x:v>
      </x:c>
      <x:c r="D294" s="121" t="str">
        <x:v>GeForce RTX 2080 Ti PassMark benchmark</x:v>
      </x:c>
      <x:c r="E294" s="121" t="str">
        <x:v>https://www.videocardbenchmark.net/video_lookup.php?gpu=GeForce+RTX+2080+Ti&amp;id=3991</x:v>
      </x:c>
      <x:c r="F294" s="125" t="n">
        <x:v>46218</x:v>
      </x:c>
      <x:c r="G294" s="121" t="str">
        <x:v>specs.passmark_g3d_mark
specs.passmark_g2d_mark
specs.benchmark_reported_tdp_w
specs.passmark_checked_at</x:v>
      </x:c>
      <x:c r="H294" s="121" t="str">
        <x:v>Codex</x:v>
      </x:c>
      <x:c r="I294" s="121" t="str">
        <x:v>GPU Mega Page（最終更新2026-07-14）から取得。投稿サンプル更新により変動します。</x:v>
      </x:c>
    </x:row>
    <x:row r="295" ht="58" customHeight="1">
      <x:c r="A295" t="str">
        <x:v>nvidia-geforce-rtx-3050-6gb-official</x:v>
      </x:c>
      <x:c r="B295" t="str">
        <x:v>nvidia-geforce-rtx-3050-6gb</x:v>
      </x:c>
      <x:c r="C295" t="str">
        <x:v>manufacturer</x:v>
      </x:c>
      <x:c r="D295" s="121" t="str">
        <x:v>NVIDIA GeForce RTX 3050 6GB 公式世代・仕様情報</x:v>
      </x:c>
      <x:c r="E295" s="121" t="str">
        <x:v>https://www.nvidia.com/en-us/geforce/graphics-cards/30-series/</x:v>
      </x:c>
      <x:c r="F295" s="125" t="n">
        <x:v>46218</x:v>
      </x:c>
      <x:c r="G295" s="121" t="str">
        <x:v>specs.architecture
specs.generation
specs.launch_period
specs.vram_gb
specs.memory_type
specs.memory_bus_bits</x:v>
      </x:c>
      <x:c r="H295" s="121" t="str">
        <x:v>Codex</x:v>
      </x:c>
      <x:c r="I295" s="121" t="str">
        <x:v>公式世代ページ・製品情報を基準に記録。日付を確定できない派生SKUは月または四半期精度。</x:v>
      </x:c>
    </x:row>
    <x:row r="296" ht="58" customHeight="1">
      <x:c r="A296" t="str">
        <x:v>nvidia-geforce-rtx-3050-6gb-passmark</x:v>
      </x:c>
      <x:c r="B296" t="str">
        <x:v>nvidia-geforce-rtx-3050-6gb</x:v>
      </x:c>
      <x:c r="C296" t="str">
        <x:v>technical_database</x:v>
      </x:c>
      <x:c r="D296" s="121" t="str">
        <x:v>GeForce RTX 3050 6GB PassMark benchmark</x:v>
      </x:c>
      <x:c r="E296" s="121" t="str">
        <x:v>https://www.videocardbenchmark.net/video_lookup.php?gpu=GeForce+RTX+3050+6GB&amp;id=5069</x:v>
      </x:c>
      <x:c r="F296" s="125" t="n">
        <x:v>46218</x:v>
      </x:c>
      <x:c r="G296" s="121" t="str">
        <x:v>specs.passmark_g3d_mark
specs.passmark_g2d_mark
specs.benchmark_reported_tdp_w
specs.passmark_checked_at</x:v>
      </x:c>
      <x:c r="H296" s="121" t="str">
        <x:v>Codex</x:v>
      </x:c>
      <x:c r="I296" s="121" t="str">
        <x:v>GPU Mega Page（最終更新2026-07-14）から取得。投稿サンプル更新により変動します。</x:v>
      </x:c>
    </x:row>
    <x:row r="297" ht="58" customHeight="1">
      <x:c r="A297" t="str">
        <x:v>nvidia-geforce-rtx-3050-8gb-official</x:v>
      </x:c>
      <x:c r="B297" t="str">
        <x:v>nvidia-geforce-rtx-3050-8gb</x:v>
      </x:c>
      <x:c r="C297" t="str">
        <x:v>manufacturer</x:v>
      </x:c>
      <x:c r="D297" s="121" t="str">
        <x:v>NVIDIA GeForce RTX 3050 8GB 公式世代・仕様情報</x:v>
      </x:c>
      <x:c r="E297" s="121" t="str">
        <x:v>https://www.nvidia.com/en-us/geforce/graphics-cards/30-series/</x:v>
      </x:c>
      <x:c r="F297" s="125" t="n">
        <x:v>46218</x:v>
      </x:c>
      <x:c r="G297" s="121" t="str">
        <x:v>specs.architecture
specs.generation
specs.release_date
specs.launch_period
specs.vram_gb
specs.memory_type
specs.memory_bus_bits</x:v>
      </x:c>
      <x:c r="H297" s="121" t="str">
        <x:v>Codex</x:v>
      </x:c>
      <x:c r="I297" s="121" t="str">
        <x:v>公式世代ページ・製品情報を基準に記録。日付を確定できない派生SKUは月または四半期精度。</x:v>
      </x:c>
    </x:row>
    <x:row r="298" ht="58" customHeight="1">
      <x:c r="A298" t="str">
        <x:v>nvidia-geforce-rtx-3050-8gb-passmark</x:v>
      </x:c>
      <x:c r="B298" t="str">
        <x:v>nvidia-geforce-rtx-3050-8gb</x:v>
      </x:c>
      <x:c r="C298" t="str">
        <x:v>technical_database</x:v>
      </x:c>
      <x:c r="D298" s="121" t="str">
        <x:v>GeForce RTX 3050 8GB PassMark benchmark</x:v>
      </x:c>
      <x:c r="E298" s="121" t="str">
        <x:v>https://www.videocardbenchmark.net/video_lookup.php?gpu=GeForce+RTX+3050+8GB&amp;id=4495</x:v>
      </x:c>
      <x:c r="F298" s="125" t="n">
        <x:v>46218</x:v>
      </x:c>
      <x:c r="G298" s="121" t="str">
        <x:v>specs.passmark_g3d_mark
specs.passmark_g2d_mark
specs.benchmark_reported_tdp_w
specs.passmark_checked_at</x:v>
      </x:c>
      <x:c r="H298" s="121" t="str">
        <x:v>Codex</x:v>
      </x:c>
      <x:c r="I298" s="121" t="str">
        <x:v>GPU Mega Page（最終更新2026-07-14）から取得。投稿サンプル更新により変動します。</x:v>
      </x:c>
    </x:row>
    <x:row r="299" ht="58" customHeight="1">
      <x:c r="A299" t="str">
        <x:v>nvidia-geforce-rtx-3060-12gb-official</x:v>
      </x:c>
      <x:c r="B299" t="str">
        <x:v>nvidia-geforce-rtx-3060-12gb</x:v>
      </x:c>
      <x:c r="C299" t="str">
        <x:v>manufacturer</x:v>
      </x:c>
      <x:c r="D299" s="121" t="str">
        <x:v>NVIDIA GeForce RTX 3060 12GB 公式世代・仕様情報</x:v>
      </x:c>
      <x:c r="E299" s="121" t="str">
        <x:v>https://www.nvidia.com/en-us/geforce/graphics-cards/30-series/</x:v>
      </x:c>
      <x:c r="F299" s="125" t="n">
        <x:v>46218</x:v>
      </x:c>
      <x:c r="G299" s="121" t="str">
        <x:v>specs.architecture
specs.generation
specs.release_date
specs.launch_period
specs.vram_gb
specs.memory_type
specs.memory_bus_bits</x:v>
      </x:c>
      <x:c r="H299" s="121" t="str">
        <x:v>Codex</x:v>
      </x:c>
      <x:c r="I299" s="121" t="str">
        <x:v>公式世代ページ・製品情報を基準に記録。日付を確定できない派生SKUは月または四半期精度。</x:v>
      </x:c>
    </x:row>
    <x:row r="300" ht="58" customHeight="1">
      <x:c r="A300" t="str">
        <x:v>nvidia-geforce-rtx-3060-12gb-passmark</x:v>
      </x:c>
      <x:c r="B300" t="str">
        <x:v>nvidia-geforce-rtx-3060-12gb</x:v>
      </x:c>
      <x:c r="C300" t="str">
        <x:v>technical_database</x:v>
      </x:c>
      <x:c r="D300" s="121" t="str">
        <x:v>GeForce RTX 3060 12GB PassMark benchmark</x:v>
      </x:c>
      <x:c r="E300" s="121" t="str">
        <x:v>https://www.videocardbenchmark.net/video_lookup.php?gpu=GeForce+RTX+3060+12GB&amp;id=4345</x:v>
      </x:c>
      <x:c r="F300" s="125" t="n">
        <x:v>46218</x:v>
      </x:c>
      <x:c r="G300" s="121" t="str">
        <x:v>specs.passmark_g3d_mark
specs.passmark_g2d_mark
specs.benchmark_reported_tdp_w
specs.passmark_checked_at</x:v>
      </x:c>
      <x:c r="H300" s="121" t="str">
        <x:v>Codex</x:v>
      </x:c>
      <x:c r="I300" s="121" t="str">
        <x:v>GPU Mega Page（最終更新2026-07-14）から取得。投稿サンプル更新により変動します。</x:v>
      </x:c>
    </x:row>
    <x:row r="301" ht="58" customHeight="1">
      <x:c r="A301" t="str">
        <x:v>nvidia-geforce-rtx-3060-8gb-official</x:v>
      </x:c>
      <x:c r="B301" t="str">
        <x:v>nvidia-geforce-rtx-3060-8gb</x:v>
      </x:c>
      <x:c r="C301" t="str">
        <x:v>manufacturer</x:v>
      </x:c>
      <x:c r="D301" s="121" t="str">
        <x:v>NVIDIA GeForce RTX 3060 8GB 公式世代・仕様情報</x:v>
      </x:c>
      <x:c r="E301" s="121" t="str">
        <x:v>https://www.nvidia.com/en-us/geforce/graphics-cards/30-series/</x:v>
      </x:c>
      <x:c r="F301" s="125" t="n">
        <x:v>46218</x:v>
      </x:c>
      <x:c r="G301" s="121" t="str">
        <x:v>specs.architecture
specs.generation
specs.launch_period
specs.vram_gb
specs.memory_type
specs.memory_bus_bits</x:v>
      </x:c>
      <x:c r="H301" s="121" t="str">
        <x:v>Codex</x:v>
      </x:c>
      <x:c r="I301" s="121" t="str">
        <x:v>公式世代ページ・製品情報を基準に記録。日付を確定できない派生SKUは月または四半期精度。</x:v>
      </x:c>
    </x:row>
    <x:row r="302" ht="58" customHeight="1">
      <x:c r="A302" t="str">
        <x:v>nvidia-geforce-rtx-3060-8gb-passmark</x:v>
      </x:c>
      <x:c r="B302" t="str">
        <x:v>nvidia-geforce-rtx-3060-8gb</x:v>
      </x:c>
      <x:c r="C302" t="str">
        <x:v>technical_database</x:v>
      </x:c>
      <x:c r="D302" s="121" t="str">
        <x:v>GeForce RTX 3060 8GB PassMark benchmark</x:v>
      </x:c>
      <x:c r="E302" s="121" t="str">
        <x:v>https://www.videocardbenchmark.net/video_lookup.php?gpu=GeForce+RTX+3060+8GB&amp;id=4966</x:v>
      </x:c>
      <x:c r="F302" s="125" t="n">
        <x:v>46218</x:v>
      </x:c>
      <x:c r="G302" s="121" t="str">
        <x:v>specs.passmark_g3d_mark
specs.passmark_g2d_mark
specs.benchmark_reported_tdp_w
specs.passmark_checked_at</x:v>
      </x:c>
      <x:c r="H302" s="121" t="str">
        <x:v>Codex</x:v>
      </x:c>
      <x:c r="I302" s="121" t="str">
        <x:v>GPU Mega Page（最終更新2026-07-14）から取得。投稿サンプル更新により変動します。</x:v>
      </x:c>
    </x:row>
    <x:row r="303" ht="58" customHeight="1">
      <x:c r="A303" t="str">
        <x:v>nvidia-geforce-rtx-3060-ti-official</x:v>
      </x:c>
      <x:c r="B303" t="str">
        <x:v>nvidia-geforce-rtx-3060-ti</x:v>
      </x:c>
      <x:c r="C303" t="str">
        <x:v>manufacturer</x:v>
      </x:c>
      <x:c r="D303" s="121" t="str">
        <x:v>NVIDIA GeForce RTX 3060 Ti 公式世代・仕様情報</x:v>
      </x:c>
      <x:c r="E303" s="121" t="str">
        <x:v>https://www.nvidia.com/en-us/geforce/graphics-cards/30-series/</x:v>
      </x:c>
      <x:c r="F303" s="125" t="n">
        <x:v>46218</x:v>
      </x:c>
      <x:c r="G303" s="121" t="str">
        <x:v>specs.architecture
specs.generation
specs.release_date
specs.launch_period
specs.vram_gb
specs.memory_type
specs.memory_bus_bits</x:v>
      </x:c>
      <x:c r="H303" s="121" t="str">
        <x:v>Codex</x:v>
      </x:c>
      <x:c r="I303" s="121" t="str">
        <x:v>公式世代ページ・製品情報を基準に記録。日付を確定できない派生SKUは月または四半期精度。</x:v>
      </x:c>
    </x:row>
    <x:row r="304" ht="58" customHeight="1">
      <x:c r="A304" t="str">
        <x:v>nvidia-geforce-rtx-3060-ti-passmark</x:v>
      </x:c>
      <x:c r="B304" t="str">
        <x:v>nvidia-geforce-rtx-3060-ti</x:v>
      </x:c>
      <x:c r="C304" t="str">
        <x:v>technical_database</x:v>
      </x:c>
      <x:c r="D304" s="121" t="str">
        <x:v>GeForce RTX 3060 Ti PassMark benchmark</x:v>
      </x:c>
      <x:c r="E304" s="121" t="str">
        <x:v>https://www.videocardbenchmark.net/video_lookup.php?gpu=GeForce+RTX+3060+Ti&amp;id=4318</x:v>
      </x:c>
      <x:c r="F304" s="125" t="n">
        <x:v>46218</x:v>
      </x:c>
      <x:c r="G304" s="121" t="str">
        <x:v>specs.passmark_g3d_mark
specs.passmark_g2d_mark
specs.benchmark_reported_tdp_w
specs.passmark_checked_at</x:v>
      </x:c>
      <x:c r="H304" s="121" t="str">
        <x:v>Codex</x:v>
      </x:c>
      <x:c r="I304" s="121" t="str">
        <x:v>GPU Mega Page（最終更新2026-07-14）から取得。投稿サンプル更新により変動します。</x:v>
      </x:c>
    </x:row>
    <x:row r="305" ht="58" customHeight="1">
      <x:c r="A305" t="str">
        <x:v>nvidia-geforce-rtx-3070-official</x:v>
      </x:c>
      <x:c r="B305" t="str">
        <x:v>nvidia-geforce-rtx-3070</x:v>
      </x:c>
      <x:c r="C305" t="str">
        <x:v>manufacturer</x:v>
      </x:c>
      <x:c r="D305" s="121" t="str">
        <x:v>NVIDIA GeForce RTX 3070 公式世代・仕様情報</x:v>
      </x:c>
      <x:c r="E305" s="121" t="str">
        <x:v>https://www.nvidia.com/en-us/geforce/graphics-cards/30-series/</x:v>
      </x:c>
      <x:c r="F305" s="125" t="n">
        <x:v>46218</x:v>
      </x:c>
      <x:c r="G305" s="121" t="str">
        <x:v>specs.architecture
specs.generation
specs.release_date
specs.launch_period
specs.vram_gb
specs.memory_type
specs.memory_bus_bits</x:v>
      </x:c>
      <x:c r="H305" s="121" t="str">
        <x:v>Codex</x:v>
      </x:c>
      <x:c r="I305" s="121" t="str">
        <x:v>公式世代ページ・製品情報を基準に記録。日付を確定できない派生SKUは月または四半期精度。</x:v>
      </x:c>
    </x:row>
    <x:row r="306" ht="58" customHeight="1">
      <x:c r="A306" t="str">
        <x:v>nvidia-geforce-rtx-3070-passmark</x:v>
      </x:c>
      <x:c r="B306" t="str">
        <x:v>nvidia-geforce-rtx-3070</x:v>
      </x:c>
      <x:c r="C306" t="str">
        <x:v>technical_database</x:v>
      </x:c>
      <x:c r="D306" s="121" t="str">
        <x:v>GeForce RTX 3070 PassMark benchmark</x:v>
      </x:c>
      <x:c r="E306" s="121" t="str">
        <x:v>https://www.videocardbenchmark.net/video_lookup.php?gpu=GeForce+RTX+3070&amp;id=4283</x:v>
      </x:c>
      <x:c r="F306" s="125" t="n">
        <x:v>46218</x:v>
      </x:c>
      <x:c r="G306" s="121" t="str">
        <x:v>specs.passmark_g3d_mark
specs.passmark_g2d_mark
specs.benchmark_reported_tdp_w
specs.passmark_checked_at</x:v>
      </x:c>
      <x:c r="H306" s="121" t="str">
        <x:v>Codex</x:v>
      </x:c>
      <x:c r="I306" s="121" t="str">
        <x:v>GPU Mega Page（最終更新2026-07-14）から取得。投稿サンプル更新により変動します。</x:v>
      </x:c>
    </x:row>
    <x:row r="307" ht="58" customHeight="1">
      <x:c r="A307" t="str">
        <x:v>nvidia-geforce-rtx-3070-ti-official</x:v>
      </x:c>
      <x:c r="B307" t="str">
        <x:v>nvidia-geforce-rtx-3070-ti</x:v>
      </x:c>
      <x:c r="C307" t="str">
        <x:v>manufacturer</x:v>
      </x:c>
      <x:c r="D307" s="121" t="str">
        <x:v>NVIDIA GeForce RTX 3070 Ti 公式世代・仕様情報</x:v>
      </x:c>
      <x:c r="E307" s="121" t="str">
        <x:v>https://www.nvidia.com/en-us/geforce/graphics-cards/30-series/</x:v>
      </x:c>
      <x:c r="F307" s="125" t="n">
        <x:v>46218</x:v>
      </x:c>
      <x:c r="G307" s="121" t="str">
        <x:v>specs.architecture
specs.generation
specs.release_date
specs.launch_period
specs.vram_gb
specs.memory_type
specs.memory_bus_bits</x:v>
      </x:c>
      <x:c r="H307" s="121" t="str">
        <x:v>Codex</x:v>
      </x:c>
      <x:c r="I307" s="121" t="str">
        <x:v>公式世代ページ・製品情報を基準に記録。日付を確定できない派生SKUは月または四半期精度。</x:v>
      </x:c>
    </x:row>
    <x:row r="308" ht="58" customHeight="1">
      <x:c r="A308" t="str">
        <x:v>nvidia-geforce-rtx-3070-ti-passmark</x:v>
      </x:c>
      <x:c r="B308" t="str">
        <x:v>nvidia-geforce-rtx-3070-ti</x:v>
      </x:c>
      <x:c r="C308" t="str">
        <x:v>technical_database</x:v>
      </x:c>
      <x:c r="D308" s="121" t="str">
        <x:v>GeForce RTX 3070 Ti PassMark benchmark</x:v>
      </x:c>
      <x:c r="E308" s="121" t="str">
        <x:v>https://www.videocardbenchmark.net/video_lookup.php?gpu=GeForce+RTX+3070+Ti&amp;id=4413</x:v>
      </x:c>
      <x:c r="F308" s="125" t="n">
        <x:v>46218</x:v>
      </x:c>
      <x:c r="G308" s="121" t="str">
        <x:v>specs.passmark_g3d_mark
specs.passmark_g2d_mark
specs.benchmark_reported_tdp_w
specs.passmark_checked_at</x:v>
      </x:c>
      <x:c r="H308" s="121" t="str">
        <x:v>Codex</x:v>
      </x:c>
      <x:c r="I308" s="121" t="str">
        <x:v>GPU Mega Page（最終更新2026-07-14）から取得。投稿サンプル更新により変動します。</x:v>
      </x:c>
    </x:row>
    <x:row r="309" ht="58" customHeight="1">
      <x:c r="A309" t="str">
        <x:v>nvidia-geforce-rtx-3080-official</x:v>
      </x:c>
      <x:c r="B309" t="str">
        <x:v>nvidia-geforce-rtx-3080</x:v>
      </x:c>
      <x:c r="C309" t="str">
        <x:v>manufacturer</x:v>
      </x:c>
      <x:c r="D309" s="121" t="str">
        <x:v>NVIDIA GeForce RTX 3080 公式世代・仕様情報</x:v>
      </x:c>
      <x:c r="E309" s="121" t="str">
        <x:v>https://www.nvidia.com/en-us/geforce/graphics-cards/30-series/</x:v>
      </x:c>
      <x:c r="F309" s="125" t="n">
        <x:v>46218</x:v>
      </x:c>
      <x:c r="G309" s="121" t="str">
        <x:v>specs.architecture
specs.generation
specs.release_date
specs.launch_period
specs.vram_gb
specs.memory_type
specs.memory_bus_bits</x:v>
      </x:c>
      <x:c r="H309" s="121" t="str">
        <x:v>Codex</x:v>
      </x:c>
      <x:c r="I309" s="121" t="str">
        <x:v>公式世代ページ・製品情報を基準に記録。日付を確定できない派生SKUは月または四半期精度。</x:v>
      </x:c>
    </x:row>
    <x:row r="310" ht="58" customHeight="1">
      <x:c r="A310" t="str">
        <x:v>nvidia-geforce-rtx-3080-passmark</x:v>
      </x:c>
      <x:c r="B310" t="str">
        <x:v>nvidia-geforce-rtx-3080</x:v>
      </x:c>
      <x:c r="C310" t="str">
        <x:v>technical_database</x:v>
      </x:c>
      <x:c r="D310" s="121" t="str">
        <x:v>GeForce RTX 3080 PassMark benchmark</x:v>
      </x:c>
      <x:c r="E310" s="121" t="str">
        <x:v>https://www.videocardbenchmark.net/video_lookup.php?gpu=GeForce+RTX+3080&amp;id=4282</x:v>
      </x:c>
      <x:c r="F310" s="125" t="n">
        <x:v>46218</x:v>
      </x:c>
      <x:c r="G310" s="121" t="str">
        <x:v>specs.passmark_g3d_mark
specs.passmark_g2d_mark
specs.benchmark_reported_tdp_w
specs.passmark_checked_at</x:v>
      </x:c>
      <x:c r="H310" s="121" t="str">
        <x:v>Codex</x:v>
      </x:c>
      <x:c r="I310" s="121" t="str">
        <x:v>GPU Mega Page（最終更新2026-07-14）から取得。投稿サンプル更新により変動します。</x:v>
      </x:c>
    </x:row>
    <x:row r="311" ht="58" customHeight="1">
      <x:c r="A311" t="str">
        <x:v>nvidia-geforce-rtx-3080-12gb-official</x:v>
      </x:c>
      <x:c r="B311" t="str">
        <x:v>nvidia-geforce-rtx-3080-12gb</x:v>
      </x:c>
      <x:c r="C311" t="str">
        <x:v>manufacturer</x:v>
      </x:c>
      <x:c r="D311" s="121" t="str">
        <x:v>NVIDIA GeForce RTX 3080 12GB 公式世代・仕様情報</x:v>
      </x:c>
      <x:c r="E311" s="121" t="str">
        <x:v>https://www.nvidia.com/en-us/geforce/graphics-cards/30-series/</x:v>
      </x:c>
      <x:c r="F311" s="125" t="n">
        <x:v>46218</x:v>
      </x:c>
      <x:c r="G311" s="121" t="str">
        <x:v>specs.architecture
specs.generation
specs.release_date
specs.launch_period
specs.vram_gb
specs.memory_type
specs.memory_bus_bits</x:v>
      </x:c>
      <x:c r="H311" s="121" t="str">
        <x:v>Codex</x:v>
      </x:c>
      <x:c r="I311" s="121" t="str">
        <x:v>公式世代ページ・製品情報を基準に記録。日付を確定できない派生SKUは月または四半期精度。</x:v>
      </x:c>
    </x:row>
    <x:row r="312" ht="58" customHeight="1">
      <x:c r="A312" t="str">
        <x:v>nvidia-geforce-rtx-3080-12gb-passmark</x:v>
      </x:c>
      <x:c r="B312" t="str">
        <x:v>nvidia-geforce-rtx-3080-12gb</x:v>
      </x:c>
      <x:c r="C312" t="str">
        <x:v>technical_database</x:v>
      </x:c>
      <x:c r="D312" s="121" t="str">
        <x:v>GeForce RTX 3080 12GB PassMark benchmark</x:v>
      </x:c>
      <x:c r="E312" s="121" t="str">
        <x:v>https://www.videocardbenchmark.net/video_lookup.php?gpu=GeForce+RTX+3080+12GB&amp;id=4601</x:v>
      </x:c>
      <x:c r="F312" s="125" t="n">
        <x:v>46218</x:v>
      </x:c>
      <x:c r="G312" s="121" t="str">
        <x:v>specs.passmark_g3d_mark
specs.passmark_g2d_mark
specs.benchmark_reported_tdp_w
specs.passmark_checked_at</x:v>
      </x:c>
      <x:c r="H312" s="121" t="str">
        <x:v>Codex</x:v>
      </x:c>
      <x:c r="I312" s="121" t="str">
        <x:v>GPU Mega Page（最終更新2026-07-14）から取得。投稿サンプル更新により変動します。</x:v>
      </x:c>
    </x:row>
    <x:row r="313" ht="58" customHeight="1">
      <x:c r="A313" t="str">
        <x:v>nvidia-geforce-rtx-3080-ti-official</x:v>
      </x:c>
      <x:c r="B313" t="str">
        <x:v>nvidia-geforce-rtx-3080-ti</x:v>
      </x:c>
      <x:c r="C313" t="str">
        <x:v>manufacturer</x:v>
      </x:c>
      <x:c r="D313" s="121" t="str">
        <x:v>NVIDIA GeForce RTX 3080 Ti 公式世代・仕様情報</x:v>
      </x:c>
      <x:c r="E313" s="121" t="str">
        <x:v>https://www.nvidia.com/en-us/geforce/graphics-cards/30-series/</x:v>
      </x:c>
      <x:c r="F313" s="125" t="n">
        <x:v>46218</x:v>
      </x:c>
      <x:c r="G313" s="121" t="str">
        <x:v>specs.architecture
specs.generation
specs.release_date
specs.launch_period
specs.vram_gb
specs.memory_type
specs.memory_bus_bits</x:v>
      </x:c>
      <x:c r="H313" s="121" t="str">
        <x:v>Codex</x:v>
      </x:c>
      <x:c r="I313" s="121" t="str">
        <x:v>公式世代ページ・製品情報を基準に記録。日付を確定できない派生SKUは月または四半期精度。</x:v>
      </x:c>
    </x:row>
    <x:row r="314" ht="58" customHeight="1">
      <x:c r="A314" t="str">
        <x:v>nvidia-geforce-rtx-3080-ti-passmark</x:v>
      </x:c>
      <x:c r="B314" t="str">
        <x:v>nvidia-geforce-rtx-3080-ti</x:v>
      </x:c>
      <x:c r="C314" t="str">
        <x:v>technical_database</x:v>
      </x:c>
      <x:c r="D314" s="121" t="str">
        <x:v>GeForce RTX 3080 Ti PassMark benchmark</x:v>
      </x:c>
      <x:c r="E314" s="121" t="str">
        <x:v>https://www.videocardbenchmark.net/video_lookup.php?gpu=GeForce+RTX+3080+Ti&amp;id=4409</x:v>
      </x:c>
      <x:c r="F314" s="125" t="n">
        <x:v>46218</x:v>
      </x:c>
      <x:c r="G314" s="121" t="str">
        <x:v>specs.passmark_g3d_mark
specs.passmark_g2d_mark
specs.benchmark_reported_tdp_w
specs.passmark_checked_at</x:v>
      </x:c>
      <x:c r="H314" s="121" t="str">
        <x:v>Codex</x:v>
      </x:c>
      <x:c r="I314" s="121" t="str">
        <x:v>GPU Mega Page（最終更新2026-07-14）から取得。投稿サンプル更新により変動します。</x:v>
      </x:c>
    </x:row>
    <x:row r="315" ht="58" customHeight="1">
      <x:c r="A315" t="str">
        <x:v>nvidia-geforce-rtx-3090-official</x:v>
      </x:c>
      <x:c r="B315" t="str">
        <x:v>nvidia-geforce-rtx-3090</x:v>
      </x:c>
      <x:c r="C315" t="str">
        <x:v>manufacturer</x:v>
      </x:c>
      <x:c r="D315" s="121" t="str">
        <x:v>NVIDIA GeForce RTX 3090 公式世代・仕様情報</x:v>
      </x:c>
      <x:c r="E315" s="121" t="str">
        <x:v>https://www.nvidia.com/en-us/geforce/graphics-cards/30-series/</x:v>
      </x:c>
      <x:c r="F315" s="125" t="n">
        <x:v>46218</x:v>
      </x:c>
      <x:c r="G315" s="121" t="str">
        <x:v>specs.architecture
specs.generation
specs.release_date
specs.launch_period
specs.vram_gb
specs.memory_type
specs.memory_bus_bits</x:v>
      </x:c>
      <x:c r="H315" s="121" t="str">
        <x:v>Codex</x:v>
      </x:c>
      <x:c r="I315" s="121" t="str">
        <x:v>公式世代ページ・製品情報を基準に記録。日付を確定できない派生SKUは月または四半期精度。</x:v>
      </x:c>
    </x:row>
    <x:row r="316" ht="58" customHeight="1">
      <x:c r="A316" t="str">
        <x:v>nvidia-geforce-rtx-3090-passmark</x:v>
      </x:c>
      <x:c r="B316" t="str">
        <x:v>nvidia-geforce-rtx-3090</x:v>
      </x:c>
      <x:c r="C316" t="str">
        <x:v>technical_database</x:v>
      </x:c>
      <x:c r="D316" s="121" t="str">
        <x:v>GeForce RTX 3090 PassMark benchmark</x:v>
      </x:c>
      <x:c r="E316" s="121" t="str">
        <x:v>https://www.videocardbenchmark.net/video_lookup.php?gpu=GeForce+RTX+3090&amp;id=4284</x:v>
      </x:c>
      <x:c r="F316" s="125" t="n">
        <x:v>46218</x:v>
      </x:c>
      <x:c r="G316" s="121" t="str">
        <x:v>specs.passmark_g3d_mark
specs.passmark_g2d_mark
specs.benchmark_reported_tdp_w
specs.passmark_checked_at</x:v>
      </x:c>
      <x:c r="H316" s="121" t="str">
        <x:v>Codex</x:v>
      </x:c>
      <x:c r="I316" s="121" t="str">
        <x:v>GPU Mega Page（最終更新2026-07-14）から取得。投稿サンプル更新により変動します。</x:v>
      </x:c>
    </x:row>
    <x:row r="317" ht="58" customHeight="1">
      <x:c r="A317" t="str">
        <x:v>nvidia-geforce-rtx-3090-ti-official</x:v>
      </x:c>
      <x:c r="B317" t="str">
        <x:v>nvidia-geforce-rtx-3090-ti</x:v>
      </x:c>
      <x:c r="C317" t="str">
        <x:v>manufacturer</x:v>
      </x:c>
      <x:c r="D317" s="121" t="str">
        <x:v>NVIDIA GeForce RTX 3090 Ti 公式世代・仕様情報</x:v>
      </x:c>
      <x:c r="E317" s="121" t="str">
        <x:v>https://www.nvidia.com/en-us/geforce/graphics-cards/30-series/</x:v>
      </x:c>
      <x:c r="F317" s="125" t="n">
        <x:v>46218</x:v>
      </x:c>
      <x:c r="G317" s="121" t="str">
        <x:v>specs.architecture
specs.generation
specs.release_date
specs.launch_period
specs.vram_gb
specs.memory_type
specs.memory_bus_bits</x:v>
      </x:c>
      <x:c r="H317" s="121" t="str">
        <x:v>Codex</x:v>
      </x:c>
      <x:c r="I317" s="121" t="str">
        <x:v>公式世代ページ・製品情報を基準に記録。日付を確定できない派生SKUは月または四半期精度。</x:v>
      </x:c>
    </x:row>
    <x:row r="318" ht="58" customHeight="1">
      <x:c r="A318" t="str">
        <x:v>nvidia-geforce-rtx-3090-ti-passmark</x:v>
      </x:c>
      <x:c r="B318" t="str">
        <x:v>nvidia-geforce-rtx-3090-ti</x:v>
      </x:c>
      <x:c r="C318" t="str">
        <x:v>technical_database</x:v>
      </x:c>
      <x:c r="D318" s="121" t="str">
        <x:v>GeForce RTX 3090 Ti PassMark benchmark</x:v>
      </x:c>
      <x:c r="E318" s="121" t="str">
        <x:v>https://www.videocardbenchmark.net/video_lookup.php?gpu=GeForce+RTX+3090+Ti&amp;id=4524</x:v>
      </x:c>
      <x:c r="F318" s="125" t="n">
        <x:v>46218</x:v>
      </x:c>
      <x:c r="G318" s="121" t="str">
        <x:v>specs.passmark_g3d_mark
specs.passmark_g2d_mark
specs.benchmark_reported_tdp_w
specs.passmark_checked_at</x:v>
      </x:c>
      <x:c r="H318" s="121" t="str">
        <x:v>Codex</x:v>
      </x:c>
      <x:c r="I318" s="121" t="str">
        <x:v>GPU Mega Page（最終更新2026-07-14）から取得。投稿サンプル更新により変動します。</x:v>
      </x:c>
    </x:row>
    <x:row r="319" ht="58" customHeight="1">
      <x:c r="A319" t="str">
        <x:v>nvidia-geforce-rtx-4060-official</x:v>
      </x:c>
      <x:c r="B319" t="str">
        <x:v>nvidia-geforce-rtx-4060</x:v>
      </x:c>
      <x:c r="C319" t="str">
        <x:v>manufacturer</x:v>
      </x:c>
      <x:c r="D319" s="121" t="str">
        <x:v>NVIDIA GeForce RTX 4060 公式世代・仕様情報</x:v>
      </x:c>
      <x:c r="E319" s="121" t="str">
        <x:v>https://www.nvidia.com/en-us/geforce/graphics-cards/40-series/</x:v>
      </x:c>
      <x:c r="F319" s="125" t="n">
        <x:v>46218</x:v>
      </x:c>
      <x:c r="G319" s="121" t="str">
        <x:v>specs.architecture
specs.generation
specs.release_date
specs.launch_period
specs.vram_gb
specs.memory_type
specs.memory_bus_bits</x:v>
      </x:c>
      <x:c r="H319" s="121" t="str">
        <x:v>Codex</x:v>
      </x:c>
      <x:c r="I319" s="121" t="str">
        <x:v>公式世代ページ・製品情報を基準に記録。日付を確定できない派生SKUは月または四半期精度。</x:v>
      </x:c>
    </x:row>
    <x:row r="320" ht="58" customHeight="1">
      <x:c r="A320" t="str">
        <x:v>nvidia-geforce-rtx-4060-passmark</x:v>
      </x:c>
      <x:c r="B320" t="str">
        <x:v>nvidia-geforce-rtx-4060</x:v>
      </x:c>
      <x:c r="C320" t="str">
        <x:v>technical_database</x:v>
      </x:c>
      <x:c r="D320" s="121" t="str">
        <x:v>GeForce RTX 4060 PassMark benchmark</x:v>
      </x:c>
      <x:c r="E320" s="121" t="str">
        <x:v>https://www.videocardbenchmark.net/video_lookup.php?gpu=GeForce+RTX+4060&amp;id=4850</x:v>
      </x:c>
      <x:c r="F320" s="125" t="n">
        <x:v>46218</x:v>
      </x:c>
      <x:c r="G320" s="121" t="str">
        <x:v>specs.passmark_g3d_mark
specs.passmark_g2d_mark
specs.benchmark_reported_tdp_w
specs.passmark_checked_at</x:v>
      </x:c>
      <x:c r="H320" s="121" t="str">
        <x:v>Codex</x:v>
      </x:c>
      <x:c r="I320" s="121" t="str">
        <x:v>GPU Mega Page（最終更新2026-07-14）から取得。投稿サンプル更新により変動します。</x:v>
      </x:c>
    </x:row>
    <x:row r="321" ht="58" customHeight="1">
      <x:c r="A321" t="str">
        <x:v>nvidia-geforce-rtx-4060-ti-16gb-official</x:v>
      </x:c>
      <x:c r="B321" t="str">
        <x:v>nvidia-geforce-rtx-4060-ti-16gb</x:v>
      </x:c>
      <x:c r="C321" t="str">
        <x:v>manufacturer</x:v>
      </x:c>
      <x:c r="D321" s="121" t="str">
        <x:v>NVIDIA GeForce RTX 4060 Ti 16GB 公式世代・仕様情報</x:v>
      </x:c>
      <x:c r="E321" s="121" t="str">
        <x:v>https://www.nvidia.com/en-us/geforce/graphics-cards/40-series/</x:v>
      </x:c>
      <x:c r="F321" s="125" t="n">
        <x:v>46218</x:v>
      </x:c>
      <x:c r="G321" s="121" t="str">
        <x:v>specs.architecture
specs.generation
specs.release_date
specs.launch_period
specs.vram_gb
specs.memory_type
specs.memory_bus_bits</x:v>
      </x:c>
      <x:c r="H321" s="121" t="str">
        <x:v>Codex</x:v>
      </x:c>
      <x:c r="I321" s="121" t="str">
        <x:v>公式世代ページ・製品情報を基準に記録。日付を確定できない派生SKUは月または四半期精度。</x:v>
      </x:c>
    </x:row>
    <x:row r="322" ht="58" customHeight="1">
      <x:c r="A322" t="str">
        <x:v>nvidia-geforce-rtx-4060-ti-16gb-passmark</x:v>
      </x:c>
      <x:c r="B322" t="str">
        <x:v>nvidia-geforce-rtx-4060-ti-16gb</x:v>
      </x:c>
      <x:c r="C322" t="str">
        <x:v>technical_database</x:v>
      </x:c>
      <x:c r="D322" s="121" t="str">
        <x:v>GeForce RTX 4060 Ti 16GB PassMark benchmark</x:v>
      </x:c>
      <x:c r="E322" s="121" t="str">
        <x:v>https://www.videocardbenchmark.net/video_lookup.php?gpu=GeForce+RTX+4060+Ti+16GB&amp;id=4898</x:v>
      </x:c>
      <x:c r="F322" s="125" t="n">
        <x:v>46218</x:v>
      </x:c>
      <x:c r="G322" s="121" t="str">
        <x:v>specs.passmark_g3d_mark
specs.passmark_g2d_mark
specs.benchmark_reported_tdp_w
specs.passmark_checked_at</x:v>
      </x:c>
      <x:c r="H322" s="121" t="str">
        <x:v>Codex</x:v>
      </x:c>
      <x:c r="I322" s="121" t="str">
        <x:v>GPU Mega Page（最終更新2026-07-14）から取得。投稿サンプル更新により変動します。</x:v>
      </x:c>
    </x:row>
    <x:row r="323" ht="58" customHeight="1">
      <x:c r="A323" t="str">
        <x:v>nvidia-geforce-rtx-4060-ti-8gb-official</x:v>
      </x:c>
      <x:c r="B323" t="str">
        <x:v>nvidia-geforce-rtx-4060-ti-8gb</x:v>
      </x:c>
      <x:c r="C323" t="str">
        <x:v>manufacturer</x:v>
      </x:c>
      <x:c r="D323" s="121" t="str">
        <x:v>NVIDIA GeForce RTX 4060 Ti 8GB 公式世代・仕様情報</x:v>
      </x:c>
      <x:c r="E323" s="121" t="str">
        <x:v>https://www.nvidia.com/en-us/geforce/graphics-cards/40-series/</x:v>
      </x:c>
      <x:c r="F323" s="125" t="n">
        <x:v>46218</x:v>
      </x:c>
      <x:c r="G323" s="121" t="str">
        <x:v>specs.architecture
specs.generation
specs.release_date
specs.launch_period
specs.vram_gb
specs.memory_type
specs.memory_bus_bits</x:v>
      </x:c>
      <x:c r="H323" s="121" t="str">
        <x:v>Codex</x:v>
      </x:c>
      <x:c r="I323" s="121" t="str">
        <x:v>公式世代ページ・製品情報を基準に記録。日付を確定できない派生SKUは月または四半期精度。</x:v>
      </x:c>
    </x:row>
    <x:row r="324" ht="58" customHeight="1">
      <x:c r="A324" t="str">
        <x:v>nvidia-geforce-rtx-4060-ti-8gb-passmark</x:v>
      </x:c>
      <x:c r="B324" t="str">
        <x:v>nvidia-geforce-rtx-4060-ti-8gb</x:v>
      </x:c>
      <x:c r="C324" t="str">
        <x:v>technical_database</x:v>
      </x:c>
      <x:c r="D324" s="121" t="str">
        <x:v>GeForce RTX 4060 Ti PassMark benchmark</x:v>
      </x:c>
      <x:c r="E324" s="121" t="str">
        <x:v>https://www.videocardbenchmark.net/video_lookup.php?gpu=GeForce+RTX+4060+Ti&amp;id=4827</x:v>
      </x:c>
      <x:c r="F324" s="125" t="n">
        <x:v>46218</x:v>
      </x:c>
      <x:c r="G324" s="121" t="str">
        <x:v>specs.passmark_g3d_mark
specs.passmark_g2d_mark
specs.benchmark_reported_tdp_w
specs.passmark_checked_at</x:v>
      </x:c>
      <x:c r="H324" s="121" t="str">
        <x:v>Codex</x:v>
      </x:c>
      <x:c r="I324" s="121" t="str">
        <x:v>GPU Mega Page（最終更新2026-07-14）から取得。投稿サンプル更新により変動します。</x:v>
      </x:c>
    </x:row>
    <x:row r="325" ht="58" customHeight="1">
      <x:c r="A325" t="str">
        <x:v>nvidia-geforce-rtx-4070-official</x:v>
      </x:c>
      <x:c r="B325" t="str">
        <x:v>nvidia-geforce-rtx-4070</x:v>
      </x:c>
      <x:c r="C325" t="str">
        <x:v>manufacturer</x:v>
      </x:c>
      <x:c r="D325" s="121" t="str">
        <x:v>NVIDIA GeForce RTX 4070 公式世代・仕様情報</x:v>
      </x:c>
      <x:c r="E325" s="121" t="str">
        <x:v>https://www.nvidia.com/en-us/geforce/graphics-cards/40-series/</x:v>
      </x:c>
      <x:c r="F325" s="125" t="n">
        <x:v>46218</x:v>
      </x:c>
      <x:c r="G325" s="121" t="str">
        <x:v>specs.architecture
specs.generation
specs.release_date
specs.launch_period
specs.vram_gb
specs.memory_type
specs.memory_bus_bits</x:v>
      </x:c>
      <x:c r="H325" s="121" t="str">
        <x:v>Codex</x:v>
      </x:c>
      <x:c r="I325" s="121" t="str">
        <x:v>公式世代ページ・製品情報を基準に記録。日付を確定できない派生SKUは月または四半期精度。</x:v>
      </x:c>
    </x:row>
    <x:row r="326" ht="58" customHeight="1">
      <x:c r="A326" t="str">
        <x:v>nvidia-geforce-rtx-4070-passmark</x:v>
      </x:c>
      <x:c r="B326" t="str">
        <x:v>nvidia-geforce-rtx-4070</x:v>
      </x:c>
      <x:c r="C326" t="str">
        <x:v>technical_database</x:v>
      </x:c>
      <x:c r="D326" s="121" t="str">
        <x:v>GeForce RTX 4070 PassMark benchmark</x:v>
      </x:c>
      <x:c r="E326" s="121" t="str">
        <x:v>https://www.videocardbenchmark.net/video_lookup.php?gpu=GeForce+RTX+4070&amp;id=4795</x:v>
      </x:c>
      <x:c r="F326" s="125" t="n">
        <x:v>46218</x:v>
      </x:c>
      <x:c r="G326" s="121" t="str">
        <x:v>specs.passmark_g3d_mark
specs.passmark_g2d_mark
specs.benchmark_reported_tdp_w
specs.passmark_checked_at</x:v>
      </x:c>
      <x:c r="H326" s="121" t="str">
        <x:v>Codex</x:v>
      </x:c>
      <x:c r="I326" s="121" t="str">
        <x:v>GPU Mega Page（最終更新2026-07-14）から取得。投稿サンプル更新により変動します。</x:v>
      </x:c>
    </x:row>
    <x:row r="327" ht="58" customHeight="1">
      <x:c r="A327" t="str">
        <x:v>nvidia-geforce-rtx-4070-super-official</x:v>
      </x:c>
      <x:c r="B327" t="str">
        <x:v>nvidia-geforce-rtx-4070-super</x:v>
      </x:c>
      <x:c r="C327" t="str">
        <x:v>manufacturer</x:v>
      </x:c>
      <x:c r="D327" s="121" t="str">
        <x:v>NVIDIA GeForce RTX 4070 SUPER 公式世代・仕様情報</x:v>
      </x:c>
      <x:c r="E327" s="121" t="str">
        <x:v>https://www.nvidia.com/en-us/geforce/graphics-cards/40-series/</x:v>
      </x:c>
      <x:c r="F327" s="125" t="n">
        <x:v>46218</x:v>
      </x:c>
      <x:c r="G327" s="121" t="str">
        <x:v>specs.architecture
specs.generation
specs.release_date
specs.launch_period
specs.vram_gb
specs.memory_type
specs.memory_bus_bits</x:v>
      </x:c>
      <x:c r="H327" s="121" t="str">
        <x:v>Codex</x:v>
      </x:c>
      <x:c r="I327" s="121" t="str">
        <x:v>公式世代ページ・製品情報を基準に記録。日付を確定できない派生SKUは月または四半期精度。</x:v>
      </x:c>
    </x:row>
    <x:row r="328" ht="58" customHeight="1">
      <x:c r="A328" t="str">
        <x:v>nvidia-geforce-rtx-4070-super-passmark</x:v>
      </x:c>
      <x:c r="B328" t="str">
        <x:v>nvidia-geforce-rtx-4070-super</x:v>
      </x:c>
      <x:c r="C328" t="str">
        <x:v>technical_database</x:v>
      </x:c>
      <x:c r="D328" s="121" t="str">
        <x:v>GeForce RTX 4070 SUPER PassMark benchmark</x:v>
      </x:c>
      <x:c r="E328" s="121" t="str">
        <x:v>https://www.videocardbenchmark.net/video_lookup.php?gpu=GeForce+RTX+4070+SUPER&amp;id=4973</x:v>
      </x:c>
      <x:c r="F328" s="125" t="n">
        <x:v>46218</x:v>
      </x:c>
      <x:c r="G328" s="121" t="str">
        <x:v>specs.passmark_g3d_mark
specs.passmark_g2d_mark
specs.benchmark_reported_tdp_w
specs.passmark_checked_at</x:v>
      </x:c>
      <x:c r="H328" s="121" t="str">
        <x:v>Codex</x:v>
      </x:c>
      <x:c r="I328" s="121" t="str">
        <x:v>GPU Mega Page（最終更新2026-07-14）から取得。投稿サンプル更新により変動します。</x:v>
      </x:c>
    </x:row>
    <x:row r="329" ht="58" customHeight="1">
      <x:c r="A329" t="str">
        <x:v>nvidia-geforce-rtx-4070-ti-official</x:v>
      </x:c>
      <x:c r="B329" t="str">
        <x:v>nvidia-geforce-rtx-4070-ti</x:v>
      </x:c>
      <x:c r="C329" t="str">
        <x:v>manufacturer</x:v>
      </x:c>
      <x:c r="D329" s="121" t="str">
        <x:v>NVIDIA GeForce RTX 4070 Ti 公式世代・仕様情報</x:v>
      </x:c>
      <x:c r="E329" s="121" t="str">
        <x:v>https://www.nvidia.com/en-us/geforce/graphics-cards/40-series/</x:v>
      </x:c>
      <x:c r="F329" s="125" t="n">
        <x:v>46218</x:v>
      </x:c>
      <x:c r="G329" s="121" t="str">
        <x:v>specs.architecture
specs.generation
specs.release_date
specs.launch_period
specs.vram_gb
specs.memory_type
specs.memory_bus_bits</x:v>
      </x:c>
      <x:c r="H329" s="121" t="str">
        <x:v>Codex</x:v>
      </x:c>
      <x:c r="I329" s="121" t="str">
        <x:v>公式世代ページ・製品情報を基準に記録。日付を確定できない派生SKUは月または四半期精度。</x:v>
      </x:c>
    </x:row>
    <x:row r="330" ht="58" customHeight="1">
      <x:c r="A330" t="str">
        <x:v>nvidia-geforce-rtx-4070-ti-passmark</x:v>
      </x:c>
      <x:c r="B330" t="str">
        <x:v>nvidia-geforce-rtx-4070-ti</x:v>
      </x:c>
      <x:c r="C330" t="str">
        <x:v>technical_database</x:v>
      </x:c>
      <x:c r="D330" s="121" t="str">
        <x:v>GeForce RTX 4070 Ti PassMark benchmark</x:v>
      </x:c>
      <x:c r="E330" s="121" t="str">
        <x:v>https://www.videocardbenchmark.net/video_lookup.php?gpu=GeForce+RTX+4070+Ti&amp;id=4699</x:v>
      </x:c>
      <x:c r="F330" s="125" t="n">
        <x:v>46218</x:v>
      </x:c>
      <x:c r="G330" s="121" t="str">
        <x:v>specs.passmark_g3d_mark
specs.passmark_g2d_mark
specs.benchmark_reported_tdp_w
specs.passmark_checked_at</x:v>
      </x:c>
      <x:c r="H330" s="121" t="str">
        <x:v>Codex</x:v>
      </x:c>
      <x:c r="I330" s="121" t="str">
        <x:v>GPU Mega Page（最終更新2026-07-14）から取得。投稿サンプル更新により変動します。</x:v>
      </x:c>
    </x:row>
    <x:row r="331" ht="58" customHeight="1">
      <x:c r="A331" t="str">
        <x:v>nvidia-geforce-rtx-4070-ti-super-official</x:v>
      </x:c>
      <x:c r="B331" t="str">
        <x:v>nvidia-geforce-rtx-4070-ti-super</x:v>
      </x:c>
      <x:c r="C331" t="str">
        <x:v>manufacturer</x:v>
      </x:c>
      <x:c r="D331" s="121" t="str">
        <x:v>NVIDIA GeForce RTX 4070 Ti SUPER 公式世代・仕様情報</x:v>
      </x:c>
      <x:c r="E331" s="121" t="str">
        <x:v>https://www.nvidia.com/en-us/geforce/graphics-cards/40-series/</x:v>
      </x:c>
      <x:c r="F331" s="125" t="n">
        <x:v>46218</x:v>
      </x:c>
      <x:c r="G331" s="121" t="str">
        <x:v>specs.architecture
specs.generation
specs.release_date
specs.launch_period
specs.vram_gb
specs.memory_type
specs.memory_bus_bits</x:v>
      </x:c>
      <x:c r="H331" s="121" t="str">
        <x:v>Codex</x:v>
      </x:c>
      <x:c r="I331" s="121" t="str">
        <x:v>公式世代ページ・製品情報を基準に記録。日付を確定できない派生SKUは月または四半期精度。</x:v>
      </x:c>
    </x:row>
    <x:row r="332" ht="58" customHeight="1">
      <x:c r="A332" t="str">
        <x:v>nvidia-geforce-rtx-4070-ti-super-passmark</x:v>
      </x:c>
      <x:c r="B332" t="str">
        <x:v>nvidia-geforce-rtx-4070-ti-super</x:v>
      </x:c>
      <x:c r="C332" t="str">
        <x:v>technical_database</x:v>
      </x:c>
      <x:c r="D332" s="121" t="str">
        <x:v>GeForce RTX 4070 Ti SUPER PassMark benchmark</x:v>
      </x:c>
      <x:c r="E332" s="121" t="str">
        <x:v>https://www.videocardbenchmark.net/video_lookup.php?gpu=GeForce+RTX+4070+Ti+SUPER&amp;id=4980</x:v>
      </x:c>
      <x:c r="F332" s="125" t="n">
        <x:v>46218</x:v>
      </x:c>
      <x:c r="G332" s="121" t="str">
        <x:v>specs.passmark_g3d_mark
specs.passmark_g2d_mark
specs.benchmark_reported_tdp_w
specs.passmark_checked_at</x:v>
      </x:c>
      <x:c r="H332" s="121" t="str">
        <x:v>Codex</x:v>
      </x:c>
      <x:c r="I332" s="121" t="str">
        <x:v>GPU Mega Page（最終更新2026-07-14）から取得。投稿サンプル更新により変動します。</x:v>
      </x:c>
    </x:row>
    <x:row r="333" ht="58" customHeight="1">
      <x:c r="A333" t="str">
        <x:v>nvidia-geforce-rtx-4080-official</x:v>
      </x:c>
      <x:c r="B333" t="str">
        <x:v>nvidia-geforce-rtx-4080</x:v>
      </x:c>
      <x:c r="C333" t="str">
        <x:v>manufacturer</x:v>
      </x:c>
      <x:c r="D333" s="121" t="str">
        <x:v>NVIDIA GeForce RTX 4080 公式世代・仕様情報</x:v>
      </x:c>
      <x:c r="E333" s="121" t="str">
        <x:v>https://www.nvidia.com/en-us/geforce/graphics-cards/40-series/</x:v>
      </x:c>
      <x:c r="F333" s="125" t="n">
        <x:v>46218</x:v>
      </x:c>
      <x:c r="G333" s="121" t="str">
        <x:v>specs.architecture
specs.generation
specs.release_date
specs.launch_period
specs.vram_gb
specs.memory_type
specs.memory_bus_bits</x:v>
      </x:c>
      <x:c r="H333" s="121" t="str">
        <x:v>Codex</x:v>
      </x:c>
      <x:c r="I333" s="121" t="str">
        <x:v>公式世代ページ・製品情報を基準に記録。日付を確定できない派生SKUは月または四半期精度。</x:v>
      </x:c>
    </x:row>
    <x:row r="334" ht="58" customHeight="1">
      <x:c r="A334" t="str">
        <x:v>nvidia-geforce-rtx-4080-passmark</x:v>
      </x:c>
      <x:c r="B334" t="str">
        <x:v>nvidia-geforce-rtx-4080</x:v>
      </x:c>
      <x:c r="C334" t="str">
        <x:v>technical_database</x:v>
      </x:c>
      <x:c r="D334" s="121" t="str">
        <x:v>GeForce RTX 4080 PassMark benchmark</x:v>
      </x:c>
      <x:c r="E334" s="121" t="str">
        <x:v>https://www.videocardbenchmark.net/video_lookup.php?gpu=GeForce+RTX+4080&amp;id=4622</x:v>
      </x:c>
      <x:c r="F334" s="125" t="n">
        <x:v>46218</x:v>
      </x:c>
      <x:c r="G334" s="121" t="str">
        <x:v>specs.passmark_g3d_mark
specs.passmark_g2d_mark
specs.benchmark_reported_tdp_w
specs.passmark_checked_at</x:v>
      </x:c>
      <x:c r="H334" s="121" t="str">
        <x:v>Codex</x:v>
      </x:c>
      <x:c r="I334" s="121" t="str">
        <x:v>GPU Mega Page（最終更新2026-07-14）から取得。投稿サンプル更新により変動します。</x:v>
      </x:c>
    </x:row>
    <x:row r="335" ht="58" customHeight="1">
      <x:c r="A335" t="str">
        <x:v>nvidia-geforce-rtx-4080-super-official</x:v>
      </x:c>
      <x:c r="B335" t="str">
        <x:v>nvidia-geforce-rtx-4080-super</x:v>
      </x:c>
      <x:c r="C335" t="str">
        <x:v>manufacturer</x:v>
      </x:c>
      <x:c r="D335" s="121" t="str">
        <x:v>NVIDIA GeForce RTX 4080 SUPER 公式世代・仕様情報</x:v>
      </x:c>
      <x:c r="E335" s="121" t="str">
        <x:v>https://www.nvidia.com/en-us/geforce/graphics-cards/40-series/</x:v>
      </x:c>
      <x:c r="F335" s="125" t="n">
        <x:v>46218</x:v>
      </x:c>
      <x:c r="G335" s="121" t="str">
        <x:v>specs.architecture
specs.generation
specs.release_date
specs.launch_period
specs.vram_gb
specs.memory_type
specs.memory_bus_bits</x:v>
      </x:c>
      <x:c r="H335" s="121" t="str">
        <x:v>Codex</x:v>
      </x:c>
      <x:c r="I335" s="121" t="str">
        <x:v>公式世代ページ・製品情報を基準に記録。日付を確定できない派生SKUは月または四半期精度。</x:v>
      </x:c>
    </x:row>
    <x:row r="336" ht="58" customHeight="1">
      <x:c r="A336" t="str">
        <x:v>nvidia-geforce-rtx-4080-super-passmark</x:v>
      </x:c>
      <x:c r="B336" t="str">
        <x:v>nvidia-geforce-rtx-4080-super</x:v>
      </x:c>
      <x:c r="C336" t="str">
        <x:v>technical_database</x:v>
      </x:c>
      <x:c r="D336" s="121" t="str">
        <x:v>GeForce RTX 4080 SUPER PassMark benchmark</x:v>
      </x:c>
      <x:c r="E336" s="121" t="str">
        <x:v>https://www.videocardbenchmark.net/video_lookup.php?gpu=GeForce+RTX+4080+SUPER&amp;id=4984</x:v>
      </x:c>
      <x:c r="F336" s="125" t="n">
        <x:v>46218</x:v>
      </x:c>
      <x:c r="G336" s="121" t="str">
        <x:v>specs.passmark_g3d_mark
specs.passmark_g2d_mark
specs.benchmark_reported_tdp_w
specs.passmark_checked_at</x:v>
      </x:c>
      <x:c r="H336" s="121" t="str">
        <x:v>Codex</x:v>
      </x:c>
      <x:c r="I336" s="121" t="str">
        <x:v>GPU Mega Page（最終更新2026-07-14）から取得。投稿サンプル更新により変動します。</x:v>
      </x:c>
    </x:row>
    <x:row r="337" ht="58" customHeight="1">
      <x:c r="A337" t="str">
        <x:v>nvidia-geforce-rtx-4090-official</x:v>
      </x:c>
      <x:c r="B337" t="str">
        <x:v>nvidia-geforce-rtx-4090</x:v>
      </x:c>
      <x:c r="C337" t="str">
        <x:v>manufacturer</x:v>
      </x:c>
      <x:c r="D337" s="121" t="str">
        <x:v>NVIDIA GeForce RTX 4090 公式世代・仕様情報</x:v>
      </x:c>
      <x:c r="E337" s="121" t="str">
        <x:v>https://www.nvidia.com/en-us/geforce/graphics-cards/40-series/</x:v>
      </x:c>
      <x:c r="F337" s="125" t="n">
        <x:v>46218</x:v>
      </x:c>
      <x:c r="G337" s="121" t="str">
        <x:v>specs.architecture
specs.generation
specs.release_date
specs.launch_period
specs.vram_gb
specs.memory_type
specs.memory_bus_bits</x:v>
      </x:c>
      <x:c r="H337" s="121" t="str">
        <x:v>Codex</x:v>
      </x:c>
      <x:c r="I337" s="121" t="str">
        <x:v>公式世代ページ・製品情報を基準に記録。日付を確定できない派生SKUは月または四半期精度。</x:v>
      </x:c>
    </x:row>
    <x:row r="338" ht="58" customHeight="1">
      <x:c r="A338" t="str">
        <x:v>nvidia-geforce-rtx-4090-passmark</x:v>
      </x:c>
      <x:c r="B338" t="str">
        <x:v>nvidia-geforce-rtx-4090</x:v>
      </x:c>
      <x:c r="C338" t="str">
        <x:v>technical_database</x:v>
      </x:c>
      <x:c r="D338" s="121" t="str">
        <x:v>GeForce RTX 4090 PassMark benchmark</x:v>
      </x:c>
      <x:c r="E338" s="121" t="str">
        <x:v>https://www.videocardbenchmark.net/video_lookup.php?gpu=GeForce+RTX+4090&amp;id=4606</x:v>
      </x:c>
      <x:c r="F338" s="125" t="n">
        <x:v>46218</x:v>
      </x:c>
      <x:c r="G338" s="121" t="str">
        <x:v>specs.passmark_g3d_mark
specs.passmark_g2d_mark
specs.benchmark_reported_tdp_w
specs.passmark_checked_at</x:v>
      </x:c>
      <x:c r="H338" s="121" t="str">
        <x:v>Codex</x:v>
      </x:c>
      <x:c r="I338" s="121" t="str">
        <x:v>GPU Mega Page（最終更新2026-07-14）から取得。投稿サンプル更新により変動します。</x:v>
      </x:c>
    </x:row>
    <x:row r="339" ht="58" customHeight="1">
      <x:c r="A339" t="str">
        <x:v>nvidia-geforce-rtx-5050-official</x:v>
      </x:c>
      <x:c r="B339" t="str">
        <x:v>nvidia-geforce-rtx-5050</x:v>
      </x:c>
      <x:c r="C339" t="str">
        <x:v>manufacturer</x:v>
      </x:c>
      <x:c r="D339" s="121" t="str">
        <x:v>NVIDIA GeForce RTX 5050 公式世代・仕様情報</x:v>
      </x:c>
      <x:c r="E339" s="121" t="str">
        <x:v>https://www.nvidia.com/en-us/geforce/graphics-cards/50-series/</x:v>
      </x:c>
      <x:c r="F339" s="125" t="n">
        <x:v>46218</x:v>
      </x:c>
      <x:c r="G339" s="121" t="str">
        <x:v>specs.architecture
specs.generation
specs.launch_period
specs.vram_gb
specs.memory_type
specs.memory_bus_bits</x:v>
      </x:c>
      <x:c r="H339" s="121" t="str">
        <x:v>Codex</x:v>
      </x:c>
      <x:c r="I339" s="121" t="str">
        <x:v>公式世代ページ・製品情報を基準に記録。日付を確定できない派生SKUは月または四半期精度。</x:v>
      </x:c>
    </x:row>
    <x:row r="340" ht="58" customHeight="1">
      <x:c r="A340" t="str">
        <x:v>nvidia-geforce-rtx-5050-passmark</x:v>
      </x:c>
      <x:c r="B340" t="str">
        <x:v>nvidia-geforce-rtx-5050</x:v>
      </x:c>
      <x:c r="C340" t="str">
        <x:v>technical_database</x:v>
      </x:c>
      <x:c r="D340" s="121" t="str">
        <x:v>GeForce RTX 5050 PassMark benchmark</x:v>
      </x:c>
      <x:c r="E340" s="121" t="str">
        <x:v>https://www.videocardbenchmark.net/video_lookup.php?gpu=GeForce+RTX+5050&amp;id=6668</x:v>
      </x:c>
      <x:c r="F340" s="125" t="n">
        <x:v>46218</x:v>
      </x:c>
      <x:c r="G340" s="121" t="str">
        <x:v>specs.passmark_g3d_mark
specs.passmark_g2d_mark
specs.benchmark_reported_tdp_w
specs.passmark_checked_at</x:v>
      </x:c>
      <x:c r="H340" s="121" t="str">
        <x:v>Codex</x:v>
      </x:c>
      <x:c r="I340" s="121" t="str">
        <x:v>GPU Mega Page（最終更新2026-07-14）から取得。投稿サンプル更新により変動します。</x:v>
      </x:c>
    </x:row>
    <x:row r="341" ht="58" customHeight="1">
      <x:c r="A341" t="str">
        <x:v>nvidia-geforce-rtx-5060-official</x:v>
      </x:c>
      <x:c r="B341" t="str">
        <x:v>nvidia-geforce-rtx-5060</x:v>
      </x:c>
      <x:c r="C341" t="str">
        <x:v>manufacturer</x:v>
      </x:c>
      <x:c r="D341" s="121" t="str">
        <x:v>NVIDIA GeForce RTX 5060 公式世代・仕様情報</x:v>
      </x:c>
      <x:c r="E341" s="121" t="str">
        <x:v>https://www.nvidia.com/en-us/geforce/graphics-cards/50-series/</x:v>
      </x:c>
      <x:c r="F341" s="125" t="n">
        <x:v>46218</x:v>
      </x:c>
      <x:c r="G341" s="121" t="str">
        <x:v>specs.architecture
specs.generation
specs.release_date
specs.launch_period
specs.vram_gb
specs.memory_type
specs.memory_bus_bits</x:v>
      </x:c>
      <x:c r="H341" s="121" t="str">
        <x:v>Codex</x:v>
      </x:c>
      <x:c r="I341" s="121" t="str">
        <x:v>公式世代ページ・製品情報を基準に記録。日付を確定できない派生SKUは月または四半期精度。</x:v>
      </x:c>
    </x:row>
    <x:row r="342" ht="58" customHeight="1">
      <x:c r="A342" t="str">
        <x:v>nvidia-geforce-rtx-5060-passmark</x:v>
      </x:c>
      <x:c r="B342" t="str">
        <x:v>nvidia-geforce-rtx-5060</x:v>
      </x:c>
      <x:c r="C342" t="str">
        <x:v>technical_database</x:v>
      </x:c>
      <x:c r="D342" s="121" t="str">
        <x:v>GeForce RTX 5060 PassMark benchmark</x:v>
      </x:c>
      <x:c r="E342" s="121" t="str">
        <x:v>https://www.videocardbenchmark.net/video_lookup.php?gpu=GeForce+RTX+5060&amp;id=5602</x:v>
      </x:c>
      <x:c r="F342" s="125" t="n">
        <x:v>46218</x:v>
      </x:c>
      <x:c r="G342" s="121" t="str">
        <x:v>specs.passmark_g3d_mark
specs.passmark_g2d_mark
specs.benchmark_reported_tdp_w
specs.passmark_checked_at</x:v>
      </x:c>
      <x:c r="H342" s="121" t="str">
        <x:v>Codex</x:v>
      </x:c>
      <x:c r="I342" s="121" t="str">
        <x:v>GPU Mega Page（最終更新2026-07-14）から取得。投稿サンプル更新により変動します。</x:v>
      </x:c>
    </x:row>
    <x:row r="343" ht="58" customHeight="1">
      <x:c r="A343" t="str">
        <x:v>nvidia-geforce-rtx-5060-ti-16gb-official</x:v>
      </x:c>
      <x:c r="B343" t="str">
        <x:v>nvidia-geforce-rtx-5060-ti-16gb</x:v>
      </x:c>
      <x:c r="C343" t="str">
        <x:v>manufacturer</x:v>
      </x:c>
      <x:c r="D343" s="121" t="str">
        <x:v>NVIDIA GeForce RTX 5060 Ti 16GB 公式世代・仕様情報</x:v>
      </x:c>
      <x:c r="E343" s="121" t="str">
        <x:v>https://www.nvidia.com/en-us/geforce/graphics-cards/50-series/</x:v>
      </x:c>
      <x:c r="F343" s="125" t="n">
        <x:v>46218</x:v>
      </x:c>
      <x:c r="G343" s="121" t="str">
        <x:v>specs.architecture
specs.generation
specs.release_date
specs.launch_period
specs.vram_gb
specs.memory_type
specs.memory_bus_bits</x:v>
      </x:c>
      <x:c r="H343" s="121" t="str">
        <x:v>Codex</x:v>
      </x:c>
      <x:c r="I343" s="121" t="str">
        <x:v>公式世代ページ・製品情報を基準に記録。日付を確定できない派生SKUは月または四半期精度。</x:v>
      </x:c>
    </x:row>
    <x:row r="344" ht="58" customHeight="1">
      <x:c r="A344" t="str">
        <x:v>nvidia-geforce-rtx-5060-ti-16gb-passmark</x:v>
      </x:c>
      <x:c r="B344" t="str">
        <x:v>nvidia-geforce-rtx-5060-ti-16gb</x:v>
      </x:c>
      <x:c r="C344" t="str">
        <x:v>technical_database</x:v>
      </x:c>
      <x:c r="D344" s="121" t="str">
        <x:v>GeForce RTX 5060 Ti 16GB PassMark benchmark</x:v>
      </x:c>
      <x:c r="E344" s="121" t="str">
        <x:v>https://www.videocardbenchmark.net/video_lookup.php?gpu=GeForce+RTX+5060+Ti+16GB&amp;id=6160</x:v>
      </x:c>
      <x:c r="F344" s="125" t="n">
        <x:v>46218</x:v>
      </x:c>
      <x:c r="G344" s="121" t="str">
        <x:v>specs.passmark_g3d_mark
specs.passmark_g2d_mark
specs.benchmark_reported_tdp_w
specs.passmark_checked_at</x:v>
      </x:c>
      <x:c r="H344" s="121" t="str">
        <x:v>Codex</x:v>
      </x:c>
      <x:c r="I344" s="121" t="str">
        <x:v>GPU Mega Page（最終更新2026-07-14）から取得。投稿サンプル更新により変動します。</x:v>
      </x:c>
    </x:row>
    <x:row r="345" ht="58" customHeight="1">
      <x:c r="A345" t="str">
        <x:v>nvidia-geforce-rtx-5060-ti-8gb-official</x:v>
      </x:c>
      <x:c r="B345" t="str">
        <x:v>nvidia-geforce-rtx-5060-ti-8gb</x:v>
      </x:c>
      <x:c r="C345" t="str">
        <x:v>manufacturer</x:v>
      </x:c>
      <x:c r="D345" s="121" t="str">
        <x:v>NVIDIA GeForce RTX 5060 Ti 8GB 公式世代・仕様情報</x:v>
      </x:c>
      <x:c r="E345" s="121" t="str">
        <x:v>https://www.nvidia.com/en-us/geforce/graphics-cards/50-series/</x:v>
      </x:c>
      <x:c r="F345" s="125" t="n">
        <x:v>46218</x:v>
      </x:c>
      <x:c r="G345" s="121" t="str">
        <x:v>specs.architecture
specs.generation
specs.release_date
specs.launch_period
specs.vram_gb
specs.memory_type
specs.memory_bus_bits</x:v>
      </x:c>
      <x:c r="H345" s="121" t="str">
        <x:v>Codex</x:v>
      </x:c>
      <x:c r="I345" s="121" t="str">
        <x:v>公式世代ページ・製品情報を基準に記録。日付を確定できない派生SKUは月または四半期精度。</x:v>
      </x:c>
    </x:row>
    <x:row r="346" ht="58" customHeight="1">
      <x:c r="A346" t="str">
        <x:v>nvidia-geforce-rtx-5060-ti-8gb-passmark</x:v>
      </x:c>
      <x:c r="B346" t="str">
        <x:v>nvidia-geforce-rtx-5060-ti-8gb</x:v>
      </x:c>
      <x:c r="C346" t="str">
        <x:v>technical_database</x:v>
      </x:c>
      <x:c r="D346" s="121" t="str">
        <x:v>GeForce RTX 5060 Ti 8GB PassMark benchmark</x:v>
      </x:c>
      <x:c r="E346" s="121" t="str">
        <x:v>https://www.videocardbenchmark.net/video_lookup.php?gpu=GeForce+RTX+5060+Ti+8GB&amp;id=6441</x:v>
      </x:c>
      <x:c r="F346" s="125" t="n">
        <x:v>46218</x:v>
      </x:c>
      <x:c r="G346" s="121" t="str">
        <x:v>specs.passmark_g3d_mark
specs.passmark_g2d_mark
specs.benchmark_reported_tdp_w
specs.passmark_checked_at</x:v>
      </x:c>
      <x:c r="H346" s="121" t="str">
        <x:v>Codex</x:v>
      </x:c>
      <x:c r="I346" s="121" t="str">
        <x:v>GPU Mega Page（最終更新2026-07-14）から取得。投稿サンプル更新により変動します。</x:v>
      </x:c>
    </x:row>
    <x:row r="347" ht="58" customHeight="1">
      <x:c r="A347" t="str">
        <x:v>nvidia-geforce-rtx-5070-official</x:v>
      </x:c>
      <x:c r="B347" t="str">
        <x:v>nvidia-geforce-rtx-5070</x:v>
      </x:c>
      <x:c r="C347" t="str">
        <x:v>manufacturer</x:v>
      </x:c>
      <x:c r="D347" s="121" t="str">
        <x:v>NVIDIA GeForce RTX 5070 公式世代・仕様情報</x:v>
      </x:c>
      <x:c r="E347" s="121" t="str">
        <x:v>https://www.nvidia.com/en-us/geforce/graphics-cards/50-series/</x:v>
      </x:c>
      <x:c r="F347" s="125" t="n">
        <x:v>46218</x:v>
      </x:c>
      <x:c r="G347" s="121" t="str">
        <x:v>specs.architecture
specs.generation
specs.release_date
specs.launch_period
specs.vram_gb
specs.memory_type
specs.memory_bus_bits</x:v>
      </x:c>
      <x:c r="H347" s="121" t="str">
        <x:v>Codex</x:v>
      </x:c>
      <x:c r="I347" s="121" t="str">
        <x:v>公式世代ページ・製品情報を基準に記録。日付を確定できない派生SKUは月または四半期精度。</x:v>
      </x:c>
    </x:row>
    <x:row r="348" ht="58" customHeight="1">
      <x:c r="A348" t="str">
        <x:v>nvidia-geforce-rtx-5070-passmark</x:v>
      </x:c>
      <x:c r="B348" t="str">
        <x:v>nvidia-geforce-rtx-5070</x:v>
      </x:c>
      <x:c r="C348" t="str">
        <x:v>technical_database</x:v>
      </x:c>
      <x:c r="D348" s="121" t="str">
        <x:v>GeForce RTX 5070 PassMark benchmark</x:v>
      </x:c>
      <x:c r="E348" s="121" t="str">
        <x:v>https://www.videocardbenchmark.net/video_lookup.php?gpu=GeForce+RTX+5070&amp;id=5940</x:v>
      </x:c>
      <x:c r="F348" s="125" t="n">
        <x:v>46218</x:v>
      </x:c>
      <x:c r="G348" s="121" t="str">
        <x:v>specs.passmark_g3d_mark
specs.passmark_g2d_mark
specs.benchmark_reported_tdp_w
specs.passmark_checked_at</x:v>
      </x:c>
      <x:c r="H348" s="121" t="str">
        <x:v>Codex</x:v>
      </x:c>
      <x:c r="I348" s="121" t="str">
        <x:v>GPU Mega Page（最終更新2026-07-14）から取得。投稿サンプル更新により変動します。</x:v>
      </x:c>
    </x:row>
    <x:row r="349" ht="58" customHeight="1">
      <x:c r="A349" t="str">
        <x:v>nvidia-geforce-rtx-5070-ti-official</x:v>
      </x:c>
      <x:c r="B349" t="str">
        <x:v>nvidia-geforce-rtx-5070-ti</x:v>
      </x:c>
      <x:c r="C349" t="str">
        <x:v>manufacturer</x:v>
      </x:c>
      <x:c r="D349" s="121" t="str">
        <x:v>NVIDIA GeForce RTX 5070 Ti 公式世代・仕様情報</x:v>
      </x:c>
      <x:c r="E349" s="121" t="str">
        <x:v>https://www.nvidia.com/en-us/geforce/graphics-cards/50-series/</x:v>
      </x:c>
      <x:c r="F349" s="125" t="n">
        <x:v>46218</x:v>
      </x:c>
      <x:c r="G349" s="121" t="str">
        <x:v>specs.architecture
specs.generation
specs.release_date
specs.launch_period
specs.vram_gb
specs.memory_type
specs.memory_bus_bits</x:v>
      </x:c>
      <x:c r="H349" s="121" t="str">
        <x:v>Codex</x:v>
      </x:c>
      <x:c r="I349" s="121" t="str">
        <x:v>公式世代ページ・製品情報を基準に記録。日付を確定できない派生SKUは月または四半期精度。</x:v>
      </x:c>
    </x:row>
    <x:row r="350" ht="58" customHeight="1">
      <x:c r="A350" t="str">
        <x:v>nvidia-geforce-rtx-5070-ti-passmark</x:v>
      </x:c>
      <x:c r="B350" t="str">
        <x:v>nvidia-geforce-rtx-5070-ti</x:v>
      </x:c>
      <x:c r="C350" t="str">
        <x:v>technical_database</x:v>
      </x:c>
      <x:c r="D350" s="121" t="str">
        <x:v>GeForce RTX 5070 Ti PassMark benchmark</x:v>
      </x:c>
      <x:c r="E350" s="121" t="str">
        <x:v>https://www.videocardbenchmark.net/video_lookup.php?gpu=GeForce+RTX+5070+Ti&amp;id=5878</x:v>
      </x:c>
      <x:c r="F350" s="125" t="n">
        <x:v>46218</x:v>
      </x:c>
      <x:c r="G350" s="121" t="str">
        <x:v>specs.passmark_g3d_mark
specs.passmark_g2d_mark
specs.benchmark_reported_tdp_w
specs.passmark_checked_at</x:v>
      </x:c>
      <x:c r="H350" s="121" t="str">
        <x:v>Codex</x:v>
      </x:c>
      <x:c r="I350" s="121" t="str">
        <x:v>GPU Mega Page（最終更新2026-07-14）から取得。投稿サンプル更新により変動します。</x:v>
      </x:c>
    </x:row>
    <x:row r="351" ht="58" customHeight="1">
      <x:c r="A351" t="str">
        <x:v>nvidia-geforce-rtx-5080-official</x:v>
      </x:c>
      <x:c r="B351" t="str">
        <x:v>nvidia-geforce-rtx-5080</x:v>
      </x:c>
      <x:c r="C351" t="str">
        <x:v>manufacturer</x:v>
      </x:c>
      <x:c r="D351" s="121" t="str">
        <x:v>NVIDIA GeForce RTX 5080 公式世代・仕様情報</x:v>
      </x:c>
      <x:c r="E351" s="121" t="str">
        <x:v>https://www.nvidia.com/en-us/geforce/graphics-cards/50-series/</x:v>
      </x:c>
      <x:c r="F351" s="125" t="n">
        <x:v>46218</x:v>
      </x:c>
      <x:c r="G351" s="121" t="str">
        <x:v>specs.architecture
specs.generation
specs.release_date
specs.launch_period
specs.vram_gb
specs.memory_type
specs.memory_bus_bits</x:v>
      </x:c>
      <x:c r="H351" s="121" t="str">
        <x:v>Codex</x:v>
      </x:c>
      <x:c r="I351" s="121" t="str">
        <x:v>公式世代ページ・製品情報を基準に記録。日付を確定できない派生SKUは月または四半期精度。</x:v>
      </x:c>
    </x:row>
    <x:row r="352" ht="58" customHeight="1">
      <x:c r="A352" t="str">
        <x:v>nvidia-geforce-rtx-5080-passmark</x:v>
      </x:c>
      <x:c r="B352" t="str">
        <x:v>nvidia-geforce-rtx-5080</x:v>
      </x:c>
      <x:c r="C352" t="str">
        <x:v>technical_database</x:v>
      </x:c>
      <x:c r="D352" s="121" t="str">
        <x:v>GeForce RTX 5080 PassMark benchmark</x:v>
      </x:c>
      <x:c r="E352" s="121" t="str">
        <x:v>https://www.videocardbenchmark.net/video_lookup.php?gpu=GeForce+RTX+5080&amp;id=5721</x:v>
      </x:c>
      <x:c r="F352" s="125" t="n">
        <x:v>46218</x:v>
      </x:c>
      <x:c r="G352" s="121" t="str">
        <x:v>specs.passmark_g3d_mark
specs.passmark_g2d_mark
specs.benchmark_reported_tdp_w
specs.passmark_checked_at</x:v>
      </x:c>
      <x:c r="H352" s="121" t="str">
        <x:v>Codex</x:v>
      </x:c>
      <x:c r="I352" s="121" t="str">
        <x:v>GPU Mega Page（最終更新2026-07-14）から取得。投稿サンプル更新により変動します。</x:v>
      </x:c>
    </x:row>
    <x:row r="353" ht="58" customHeight="1">
      <x:c r="A353" t="str">
        <x:v>nvidia-geforce-rtx-5090-official</x:v>
      </x:c>
      <x:c r="B353" t="str">
        <x:v>nvidia-geforce-rtx-5090</x:v>
      </x:c>
      <x:c r="C353" t="str">
        <x:v>manufacturer</x:v>
      </x:c>
      <x:c r="D353" s="121" t="str">
        <x:v>NVIDIA GeForce RTX 5090 公式世代・仕様情報</x:v>
      </x:c>
      <x:c r="E353" s="121" t="str">
        <x:v>https://www.nvidia.com/en-us/geforce/graphics-cards/50-series/</x:v>
      </x:c>
      <x:c r="F353" s="125" t="n">
        <x:v>46218</x:v>
      </x:c>
      <x:c r="G353" s="121" t="str">
        <x:v>specs.architecture
specs.generation
specs.release_date
specs.launch_period
specs.vram_gb
specs.memory_type
specs.memory_bus_bits</x:v>
      </x:c>
      <x:c r="H353" s="121" t="str">
        <x:v>Codex</x:v>
      </x:c>
      <x:c r="I353" s="121" t="str">
        <x:v>公式世代ページ・製品情報を基準に記録。日付を確定できない派生SKUは月または四半期精度。</x:v>
      </x:c>
    </x:row>
    <x:row r="354" ht="58" customHeight="1">
      <x:c r="A354" t="str">
        <x:v>nvidia-geforce-rtx-5090-passmark</x:v>
      </x:c>
      <x:c r="B354" t="str">
        <x:v>nvidia-geforce-rtx-5090</x:v>
      </x:c>
      <x:c r="C354" t="str">
        <x:v>technical_database</x:v>
      </x:c>
      <x:c r="D354" s="121" t="str">
        <x:v>GeForce RTX 5090 PassMark benchmark</x:v>
      </x:c>
      <x:c r="E354" s="121" t="str">
        <x:v>https://www.videocardbenchmark.net/video_lookup.php?gpu=GeForce+RTX+5090&amp;id=5725</x:v>
      </x:c>
      <x:c r="F354" s="125" t="n">
        <x:v>46218</x:v>
      </x:c>
      <x:c r="G354" s="121" t="str">
        <x:v>specs.passmark_g3d_mark
specs.passmark_g2d_mark
specs.benchmark_reported_tdp_w
specs.passmark_checked_at</x:v>
      </x:c>
      <x:c r="H354" s="121" t="str">
        <x:v>Codex</x:v>
      </x:c>
      <x:c r="I354" s="121" t="str">
        <x:v>GPU Mega Page（最終更新2026-07-14）から取得。投稿サンプル更新により変動します。</x:v>
      </x:c>
    </x:row>
    <x:row r="355" ht="58" customHeight="1">
      <x:c r="A355" t="str">
        <x:v>amd-radeon-rx-6500-xt-8gb-official</x:v>
      </x:c>
      <x:c r="B355" t="str">
        <x:v>amd-radeon-rx-6500-xt-8gb</x:v>
      </x:c>
      <x:c r="C355" t="str">
        <x:v>manufacturer</x:v>
      </x:c>
      <x:c r="D355" s="121" t="str">
        <x:v>AMD Radeon RX 6500 XT 8GB 公式仕様情報</x:v>
      </x:c>
      <x:c r="E355" s="121" t="str">
        <x:v>https://www.amd.com/en/products/graphics/desktops/radeon/6000-series/amd-radeon-rx-6500-xt.html</x:v>
      </x:c>
      <x:c r="F355" s="125" t="n">
        <x:v>46218</x:v>
      </x:c>
      <x:c r="G355" s="121" t="str">
        <x:v>specs.architecture
specs.generation
specs.release_date
specs.launch_period
specs.vram_gb
specs.memory_type
specs.memory_bus_bits</x:v>
      </x:c>
      <x:c r="H355" s="121" t="str">
        <x:v>Codex</x:v>
      </x:c>
      <x:c r="I355" s="121" t="str">
        <x:v>AMD公式ページで8GB、RDNA 2、64-bit GDDR6、発売日を確認。</x:v>
      </x:c>
    </x:row>
    <x:row r="356" ht="58" customHeight="1">
      <x:c r="A356" t="str">
        <x:v>amd-radeon-rx-6500-xt-8gb-passmark</x:v>
      </x:c>
      <x:c r="B356" t="str">
        <x:v>amd-radeon-rx-6500-xt-8gb</x:v>
      </x:c>
      <x:c r="C356" t="str">
        <x:v>technical_database</x:v>
      </x:c>
      <x:c r="D356" s="121" t="str">
        <x:v>Radeon RX 6500 XT PassMark benchmark（4GB/8GB共通集計）</x:v>
      </x:c>
      <x:c r="E356" s="121" t="str">
        <x:v>https://www.videocardbenchmark.net/video_lookup.php?gpu=Radeon+RX+6500+XT&amp;id=4488</x:v>
      </x:c>
      <x:c r="F356" s="125" t="n">
        <x:v>46218</x:v>
      </x:c>
      <x:c r="G356" s="121" t="str">
        <x:v>specs.passmark_g3d_mark
specs.passmark_g2d_mark
specs.benchmark_reported_tdp_w
specs.passmark_checked_at</x:v>
      </x:c>
      <x:c r="H356" s="121" t="str">
        <x:v>Codex</x:v>
      </x:c>
      <x:c r="I356" s="121" t="str">
        <x:v>PassMarkはVRAM容量別に分離していないため共通スコアを参考値として記録。</x:v>
      </x:c>
    </x:row>
    <x:row r="357" ht="58" customHeight="1">
      <x:c r="A357" t="str">
        <x:v>memory-corsair-cmk32gx5m2b6000z30-official</x:v>
      </x:c>
      <x:c r="B357" t="str">
        <x:v>memory-corsair-cmk32gx5m2b6000z30</x:v>
      </x:c>
      <x:c r="C357" t="str">
        <x:v>manufacturer</x:v>
      </x:c>
      <x:c r="D357" s="121" t="str">
        <x:v>Corsair VENGEANCE DDR5 CMK32GX5M2B6000Z30 公式仕様</x:v>
      </x:c>
      <x:c r="E357" s="121" t="str">
        <x:v>https://www.corsair.com/us/en/p/memory/cmk32gx5m2b6000z30/vengeance-32gb-2x16gb-ddr5-dram-6000mt-s-cl30-amd-expo-memory-black-cmk32gx5m2b6000z30</x:v>
      </x:c>
      <x:c r="F357" s="125" t="n">
        <x:v>46218</x:v>
      </x:c>
      <x:c r="G357" s="121" t="str">
        <x:v>identifiers.part_numbers
specs.warranty_class
specs.memory_type
specs.total_capacity_gb
specs.module_count
specs.data_rate_mt_s
specs.expo
specs.cas_latency
specs.voltage_v
specs.default_data_rate_mt_s</x:v>
      </x:c>
      <x:c r="H357" s="121" t="str">
        <x:v>Codex</x:v>
      </x:c>
      <x:c r="I357" s="121" t="str">
        <x:v>32GB (2×16GB)、6000MT/s、30-36-36-76、1.40V、EXPO/XMP、限定永久保証を確認。 標準SPD/JEDEC速度は4800MT/s。</x:v>
      </x:c>
    </x:row>
    <x:row r="358" ht="58" customHeight="1">
      <x:c r="A358" t="str">
        <x:v>memory-corsair-cmk64gx5m2b6000z30-official</x:v>
      </x:c>
      <x:c r="B358" t="str">
        <x:v>memory-corsair-cmk64gx5m2b6000z30</x:v>
      </x:c>
      <x:c r="C358" t="str">
        <x:v>manufacturer</x:v>
      </x:c>
      <x:c r="D358" s="121" t="str">
        <x:v>Corsair VENGEANCE DDR5 CMK64GX5M2B6000Z30 公式仕様</x:v>
      </x:c>
      <x:c r="E358" s="121" t="str">
        <x:v>https://www.corsair.com/ww/en/p/memory/CMK64GX5M2B6000Z30/vengeance-64gb-2x32gb-ddr5-dram-6000mt-s-cl30-amd-expo-%26-intel-xmp-memory-kit-cmk64gx5m2b6000z30</x:v>
      </x:c>
      <x:c r="F358" s="125" t="n">
        <x:v>46218</x:v>
      </x:c>
      <x:c r="G358" s="121" t="str">
        <x:v>identifiers.part_numbers
specs.warranty_class
specs.memory_type
specs.total_capacity_gb
specs.module_count
specs.data_rate_mt_s
specs.expo
specs.cas_latency
specs.voltage_v
specs.default_data_rate_mt_s</x:v>
      </x:c>
      <x:c r="H358" s="121" t="str">
        <x:v>Codex</x:v>
      </x:c>
      <x:c r="I358" s="121" t="str">
        <x:v>64GB (2×32GB)、6000MT/s、30-36-36-76、1.40V、EXPO/XMP、限定永久保証を確認。 標準SPD/JEDEC速度は4800MT/s。</x:v>
      </x:c>
    </x:row>
    <x:row r="359" ht="58" customHeight="1">
      <x:c r="A359" t="str">
        <x:v>memory-corsair-cmk32gx4m2e3200c16-official</x:v>
      </x:c>
      <x:c r="B359" t="str">
        <x:v>memory-corsair-cmk32gx4m2e3200c16</x:v>
      </x:c>
      <x:c r="C359" t="str">
        <x:v>manufacturer</x:v>
      </x:c>
      <x:c r="D359" s="121" t="str">
        <x:v>Corsair VENGEANCE LPX CMK32GX4M2E3200C16 公式仕様</x:v>
      </x:c>
      <x:c r="E359" s="121" t="str">
        <x:v>https://www.corsair.com/us/en/p/memory/cmk32gx4m2e3200c16/vengeance-lpx-32gb-2-x-16gb-ddr4-dram-3200mhz-c16-memory-kit-black-cmk32gx4m2e3200c16</x:v>
      </x:c>
      <x:c r="F359" s="125" t="n">
        <x:v>46218</x:v>
      </x:c>
      <x:c r="G359" s="121" t="str">
        <x:v>identifiers.part_numbers
specs.warranty_class
specs.memory_type
specs.total_capacity_gb
specs.module_count
specs.data_rate_mt_s
specs.expo
specs.cas_latency
specs.voltage_v
specs.default_data_rate_mt_s</x:v>
      </x:c>
      <x:c r="H359" s="121" t="str">
        <x:v>Codex</x:v>
      </x:c>
      <x:c r="I359" s="121" t="str">
        <x:v>32GB (2×16GB)、DDR4-3200 CL16、1.35V、XMP 2.0、限定永久保証を確認。 標準SPD/JEDEC速度は2133MT/s。</x:v>
      </x:c>
    </x:row>
    <x:row r="360" ht="58" customHeight="1">
      <x:c r="A360" t="str">
        <x:v>memory-corsair-cmk64gx4m2e3200c16-official</x:v>
      </x:c>
      <x:c r="B360" t="str">
        <x:v>memory-corsair-cmk64gx4m2e3200c16</x:v>
      </x:c>
      <x:c r="C360" t="str">
        <x:v>manufacturer</x:v>
      </x:c>
      <x:c r="D360" s="121" t="str">
        <x:v>Corsair VENGEANCE LPX CMK64GX4M2E3200C16 公式仕様</x:v>
      </x:c>
      <x:c r="E360" s="121" t="str">
        <x:v>https://www.corsair.com/us/en/p/memory/cmk64gx4m2e3200c16/vengeancea-lpx-64gb-2-x-32gb-ddr4-dram-3200mhz-c16-memory-kit-black-cmk64gx4m2e3200c16</x:v>
      </x:c>
      <x:c r="F360" s="125" t="n">
        <x:v>46218</x:v>
      </x:c>
      <x:c r="G360" s="121" t="str">
        <x:v>identifiers.part_numbers
specs.warranty_class
specs.memory_type
specs.total_capacity_gb
specs.module_count
specs.data_rate_mt_s
specs.expo
specs.cas_latency
specs.voltage_v
specs.default_data_rate_mt_s</x:v>
      </x:c>
      <x:c r="H360" s="121" t="str">
        <x:v>Codex</x:v>
      </x:c>
      <x:c r="I360" s="121" t="str">
        <x:v>64GB (2×32GB)、DDR4-3200、16-20-20-38、1.35V、XMP 2.0、限定永久保証を確認。 標準SPD/JEDEC速度は2133MT/s。</x:v>
      </x:c>
    </x:row>
    <x:row r="361" ht="58" customHeight="1">
      <x:c r="A361" t="str">
        <x:v>memory-gskill-f5-6000j3038f16gx2-fx5-official</x:v>
      </x:c>
      <x:c r="B361" t="str">
        <x:v>memory-gskill-f5-6000j3038f16gx2-fx5</x:v>
      </x:c>
      <x:c r="C361" t="str">
        <x:v>manufacturer</x:v>
      </x:c>
      <x:c r="D361" s="121" t="str">
        <x:v>G.SKILL F5-6000J3038F16GX2-FX5 EXPO自己認証レポート</x:v>
      </x:c>
      <x:c r="E361" s="121" t="str">
        <x:v>https://www.gskill.com/_upload/files/F5-6000J3038F16GX2-FX5.pdf</x:v>
      </x:c>
      <x:c r="F361" s="125" t="n">
        <x:v>46218</x:v>
      </x:c>
      <x:c r="G361" s="121" t="str">
        <x:v>identifiers.part_numbers
specs.warranty_class
specs.memory_type
specs.total_capacity_gb
specs.module_count
specs.data_rate_mt_s
specs.expo
specs.cas_latency
specs.voltage_v
specs.chip_type
specs.default_data_rate_mt_s</x:v>
      </x:c>
      <x:c r="H361" s="121" t="str">
        <x:v>Codex</x:v>
      </x:c>
      <x:c r="I361" s="121" t="str">
        <x:v>32GB (2×16GB)、DDR5-6000、30-38-38-96、1.35V、EXPO、Module Rev.1.0のSK hynix構成を確認。 標準SPD/JEDEC速度は4800MT/s。</x:v>
      </x:c>
    </x:row>
    <x:row r="362" ht="58" customHeight="1">
      <x:c r="A362" t="str">
        <x:v>memory-gskill-f5-6000j3040g32gx2-fx5-official</x:v>
      </x:c>
      <x:c r="B362" t="str">
        <x:v>memory-gskill-f5-6000j3040g32gx2-fx5</x:v>
      </x:c>
      <x:c r="C362" t="str">
        <x:v>manufacturer</x:v>
      </x:c>
      <x:c r="D362" s="121" t="str">
        <x:v>G.SKILL F5-6000J3040G32GX2-FX5 公式仕様</x:v>
      </x:c>
      <x:c r="E362" s="121" t="str">
        <x:v>https://www.gskill.com/cn/specification/204/398/1691400033/F5-6000J3040G32GX2-FX5-Specification</x:v>
      </x:c>
      <x:c r="F362" s="125" t="n">
        <x:v>46218</x:v>
      </x:c>
      <x:c r="G362" s="121" t="str">
        <x:v>identifiers.part_numbers
specs.warranty_class
specs.memory_type
specs.total_capacity_gb
specs.module_count
specs.data_rate_mt_s
specs.expo
specs.cas_latency
specs.voltage_v
specs.default_data_rate_mt_s</x:v>
      </x:c>
      <x:c r="H362" s="121" t="str">
        <x:v>Codex</x:v>
      </x:c>
      <x:c r="I362" s="121" t="str">
        <x:v>64GB (2×32GB)、DDR5-6000、30-40-40-96、1.40V、EXPO/XMP、限定永久保証を確認。 標準SPD/JEDEC速度は4800MT/s。</x:v>
      </x:c>
    </x:row>
    <x:row r="363" ht="58" customHeight="1">
      <x:c r="A363" t="str">
        <x:v>memory-gskill-f4-3600c16d-32gvkc-official</x:v>
      </x:c>
      <x:c r="B363" t="str">
        <x:v>memory-gskill-f4-3600c16d-32gvkc</x:v>
      </x:c>
      <x:c r="C363" t="str">
        <x:v>manufacturer</x:v>
      </x:c>
      <x:c r="D363" s="121" t="str">
        <x:v>G.SKILL F4-3600C16D-32GVKC 公式仕様</x:v>
      </x:c>
      <x:c r="E363" s="121" t="str">
        <x:v>https://www.gskill.com/specification/165/184/1562831784/F4-3600C16D-32GVKC-Specification</x:v>
      </x:c>
      <x:c r="F363" s="125" t="n">
        <x:v>46218</x:v>
      </x:c>
      <x:c r="G363" s="121" t="str">
        <x:v>identifiers.part_numbers
specs.warranty_class
specs.memory_type
specs.total_capacity_gb
specs.module_count
specs.data_rate_mt_s
specs.expo
specs.cas_latency
specs.voltage_v
specs.default_data_rate_mt_s</x:v>
      </x:c>
      <x:c r="H363" s="121" t="str">
        <x:v>Codex</x:v>
      </x:c>
      <x:c r="I363" s="121" t="str">
        <x:v>32GB (2×16GB)、DDR4-3600、16-19-19-39、1.35V、XMP 2.0、限定永久保証を確認。 標準SPD/JEDEC速度は2133MT/s。</x:v>
      </x:c>
    </x:row>
    <x:row r="364" ht="58" customHeight="1">
      <x:c r="A364" t="str">
        <x:v>memory-gskill-f4-3600c18d-64gvk-official</x:v>
      </x:c>
      <x:c r="B364" t="str">
        <x:v>memory-gskill-f4-3600c18d-64gvk</x:v>
      </x:c>
      <x:c r="C364" t="str">
        <x:v>manufacturer</x:v>
      </x:c>
      <x:c r="D364" s="121" t="str">
        <x:v>G.SKILL F4-3600C18D-64GVK 公式仕様</x:v>
      </x:c>
      <x:c r="E364" s="121" t="str">
        <x:v>https://www.gskill.com/cn/specification/204/218/1571734306/F4-3600C18D-64GVK-Specification</x:v>
      </x:c>
      <x:c r="F364" s="125" t="n">
        <x:v>46218</x:v>
      </x:c>
      <x:c r="G364" s="121" t="str">
        <x:v>identifiers.part_numbers
specs.warranty_class
specs.memory_type
specs.total_capacity_gb
specs.module_count
specs.data_rate_mt_s
specs.expo
specs.cas_latency
specs.voltage_v
specs.default_data_rate_mt_s</x:v>
      </x:c>
      <x:c r="H364" s="121" t="str">
        <x:v>Codex</x:v>
      </x:c>
      <x:c r="I364" s="121" t="str">
        <x:v>64GB (2×32GB)、DDR4-3600、18-22-22-42、1.35V、XMP 2.0、限定永久保証を確認。 標準SPD/JEDEC速度は2666MT/s。</x:v>
      </x:c>
    </x:row>
    <x:row r="365" ht="58" customHeight="1">
      <x:c r="A365" t="str">
        <x:v>memory-kingston-kf560c30bbek2-32-official</x:v>
      </x:c>
      <x:c r="B365" t="str">
        <x:v>memory-kingston-kf560c30bbek2-32</x:v>
      </x:c>
      <x:c r="C365" t="str">
        <x:v>manufacturer</x:v>
      </x:c>
      <x:c r="D365" s="121" t="str">
        <x:v>Kingston KF560C30BBEK2-32 公式データシート</x:v>
      </x:c>
      <x:c r="E365" s="121" t="str">
        <x:v>https://www.kingston.com/datasheets/KF560C30BBEK2-32.pdf</x:v>
      </x:c>
      <x:c r="F365" s="125" t="n">
        <x:v>46218</x:v>
      </x:c>
      <x:c r="G365" s="121" t="str">
        <x:v>identifiers.part_numbers
specs.warranty_class
specs.memory_type
specs.total_capacity_gb
specs.module_count
specs.data_rate_mt_s
specs.expo
specs.cas_latency
specs.voltage_v
specs.module_height_mm
specs.default_data_rate_mt_s</x:v>
      </x:c>
      <x:c r="H365" s="121" t="str">
        <x:v>Codex</x:v>
      </x:c>
      <x:c r="I365" s="121" t="str">
        <x:v>32GB (2×16GB)、DDR5-6000 CL30-36-36、1.40V、EXPO/XMP、高さ34.9mm、1Rx8を確認。 標準SPD/JEDEC速度は4800MT/s。</x:v>
      </x:c>
    </x:row>
    <x:row r="366" ht="58" customHeight="1">
      <x:c r="A366" t="str">
        <x:v>memory-kingston-kf560c30bbek2-64-official</x:v>
      </x:c>
      <x:c r="B366" t="str">
        <x:v>memory-kingston-kf560c30bbek2-64</x:v>
      </x:c>
      <x:c r="C366" t="str">
        <x:v>manufacturer</x:v>
      </x:c>
      <x:c r="D366" s="121" t="str">
        <x:v>Kingston KF560C30BBEK2-64 公式データシート</x:v>
      </x:c>
      <x:c r="E366" s="121" t="str">
        <x:v>https://www.kingston.com/datasheets/KF560C30BBEK2-64.pdf</x:v>
      </x:c>
      <x:c r="F366" s="125" t="n">
        <x:v>46218</x:v>
      </x:c>
      <x:c r="G366" s="121" t="str">
        <x:v>identifiers.part_numbers
specs.warranty_class
specs.memory_type
specs.total_capacity_gb
specs.module_count
specs.data_rate_mt_s
specs.expo
specs.cas_latency
specs.voltage_v
specs.module_height_mm
specs.default_data_rate_mt_s</x:v>
      </x:c>
      <x:c r="H366" s="121" t="str">
        <x:v>Codex</x:v>
      </x:c>
      <x:c r="I366" s="121" t="str">
        <x:v>64GB (2×32GB)、DDR5-6000 CL30-36-36、1.40V、EXPO/XMP、高さ34.9mm、2Rx8を確認。 標準SPD/JEDEC速度は4800MT/s。</x:v>
      </x:c>
    </x:row>
    <x:row r="367" ht="58" customHeight="1">
      <x:c r="A367" t="str">
        <x:v>memory-kingston-kf432c16bbk2-32-official</x:v>
      </x:c>
      <x:c r="B367" t="str">
        <x:v>memory-kingston-kf432c16bbk2-32</x:v>
      </x:c>
      <x:c r="C367" t="str">
        <x:v>manufacturer</x:v>
      </x:c>
      <x:c r="D367" s="121" t="str">
        <x:v>Kingston KF432C16BBK2/32 公式データシート</x:v>
      </x:c>
      <x:c r="E367" s="121" t="str">
        <x:v>https://www.kingston.com/dataSheets/KF432C16BBK2_32.pdf</x:v>
      </x:c>
      <x:c r="F367" s="125" t="n">
        <x:v>46218</x:v>
      </x:c>
      <x:c r="G367" s="121" t="str">
        <x:v>identifiers.part_numbers
specs.warranty_class
specs.memory_type
specs.total_capacity_gb
specs.module_count
specs.data_rate_mt_s
specs.expo
specs.cas_latency
specs.voltage_v
specs.module_height_mm
specs.default_data_rate_mt_s</x:v>
      </x:c>
      <x:c r="H367" s="121" t="str">
        <x:v>Codex</x:v>
      </x:c>
      <x:c r="I367" s="121" t="str">
        <x:v>32GB (2×16GB)、DDR4-3200 CL16-20-20、1.35V、XMP 2.0、高さ34mm、1Rx8を確認。 標準SPD/JEDEC速度は2400MT/s。</x:v>
      </x:c>
    </x:row>
    <x:row r="368" ht="58" customHeight="1">
      <x:c r="A368" t="str">
        <x:v>memory-kingston-kf432c16bbk2-64-official</x:v>
      </x:c>
      <x:c r="B368" t="str">
        <x:v>memory-kingston-kf432c16bbk2-64</x:v>
      </x:c>
      <x:c r="C368" t="str">
        <x:v>manufacturer</x:v>
      </x:c>
      <x:c r="D368" s="121" t="str">
        <x:v>Kingston KF432C16BBK2/64 公式データシート</x:v>
      </x:c>
      <x:c r="E368" s="121" t="str">
        <x:v>https://www.kingston.com/datasheets/KF432C16BBK2_64.pdf</x:v>
      </x:c>
      <x:c r="F368" s="125" t="n">
        <x:v>46218</x:v>
      </x:c>
      <x:c r="G368" s="121" t="str">
        <x:v>identifiers.part_numbers
specs.warranty_class
specs.memory_type
specs.total_capacity_gb
specs.module_count
specs.data_rate_mt_s
specs.expo
specs.cas_latency
specs.voltage_v
specs.module_height_mm
specs.default_data_rate_mt_s</x:v>
      </x:c>
      <x:c r="H368" s="121" t="str">
        <x:v>Codex</x:v>
      </x:c>
      <x:c r="I368" s="121" t="str">
        <x:v>64GB (2×32GB)、DDR4-3200 CL16-20-20、1.35V、XMP 2.0、高さ34mm、2Rx8を確認。 標準SPD/JEDEC速度は2400MT/s。</x:v>
      </x:c>
    </x:row>
    <x:row r="369" ht="58" customHeight="1">
      <x:c r="A369" t="str">
        <x:v>memory-crucial-cp2k16g60c36u5b-official</x:v>
      </x:c>
      <x:c r="B369" t="str">
        <x:v>memory-crucial-cp2k16g60c36u5b</x:v>
      </x:c>
      <x:c r="C369" t="str">
        <x:v>manufacturer</x:v>
      </x:c>
      <x:c r="D369" s="121" t="str">
        <x:v>Crucial Pro CP2K16G60C36U5B 公式仕様</x:v>
      </x:c>
      <x:c r="E369" s="121" t="str">
        <x:v>https://eu.crucial.com/memory/ddr5/cp2k16g60c36u5b/ct24919604</x:v>
      </x:c>
      <x:c r="F369" s="125" t="n">
        <x:v>46218</x:v>
      </x:c>
      <x:c r="G369" s="121" t="str">
        <x:v>identifiers.part_numbers
specs.warranty_class
specs.memory_type
specs.total_capacity_gb
specs.module_count
specs.data_rate_mt_s
specs.expo
specs.cas_latency
specs.voltage_v
specs.default_data_rate_mt_s</x:v>
      </x:c>
      <x:c r="H369" s="121" t="str">
        <x:v>Codex</x:v>
      </x:c>
      <x:c r="I369" s="121" t="str">
        <x:v>32GB (2×16GB)、DDR5-6000 CL36-38-38-80、1.35V、XMP/EXPO、限定永久保証を確認。 標準SPD/JEDEC速度は5600MT/s。</x:v>
      </x:c>
    </x:row>
    <x:row r="370" ht="58" customHeight="1">
      <x:c r="A370" t="str">
        <x:v>memory-crucial-cp2k32g60c40u5b-official</x:v>
      </x:c>
      <x:c r="B370" t="str">
        <x:v>memory-crucial-cp2k32g60c40u5b</x:v>
      </x:c>
      <x:c r="C370" t="str">
        <x:v>manufacturer</x:v>
      </x:c>
      <x:c r="D370" s="121" t="str">
        <x:v>Crucial Pro CP2K32G60C40U5B 公式仕様</x:v>
      </x:c>
      <x:c r="E370" s="121" t="str">
        <x:v>https://uk.crucial.com/memory/ddr5/cp2k32g60c40u5b</x:v>
      </x:c>
      <x:c r="F370" s="125" t="n">
        <x:v>46218</x:v>
      </x:c>
      <x:c r="G370" s="121" t="str">
        <x:v>identifiers.part_numbers
specs.warranty_class
specs.memory_type
specs.total_capacity_gb
specs.module_count
specs.data_rate_mt_s
specs.expo
specs.cas_latency
specs.voltage_v
specs.default_data_rate_mt_s</x:v>
      </x:c>
      <x:c r="H370" s="121" t="str">
        <x:v>Codex</x:v>
      </x:c>
      <x:c r="I370" s="121" t="str">
        <x:v>64GB (2×32GB)、DDR5-6000 CL40、1.35V、XMP/EXPO、限定永久保証を確認。 標準SPD/JEDEC速度は5600MT/s。</x:v>
      </x:c>
    </x:row>
    <x:row r="371" ht="58" customHeight="1">
      <x:c r="A371" t="str">
        <x:v>memory-crucial-cp2k16g4dfra32a-official</x:v>
      </x:c>
      <x:c r="B371" t="str">
        <x:v>memory-crucial-cp2k16g4dfra32a</x:v>
      </x:c>
      <x:c r="C371" t="str">
        <x:v>manufacturer</x:v>
      </x:c>
      <x:c r="D371" s="121" t="str">
        <x:v>Crucial Pro CP2K16G4DFRA32A 公式仕様</x:v>
      </x:c>
      <x:c r="E371" s="121" t="str">
        <x:v>https://www.crucial.com/memory/ddr4/cp2k16g4dfra32a/ct24204185</x:v>
      </x:c>
      <x:c r="F371" s="125" t="n">
        <x:v>46218</x:v>
      </x:c>
      <x:c r="G371" s="121" t="str">
        <x:v>identifiers.part_numbers
specs.warranty_class
specs.memory_type
specs.total_capacity_gb
specs.module_count
specs.data_rate_mt_s
specs.expo
specs.cas_latency
specs.voltage_v
specs.default_data_rate_mt_s</x:v>
      </x:c>
      <x:c r="H371" s="121" t="str">
        <x:v>Codex</x:v>
      </x:c>
      <x:c r="I371" s="121" t="str">
        <x:v>32GB (2×16GB)、DDR4-3200 CL22、1.20V、XMP 2.0、限定永久保証を確認。 標準SPD/JEDEC速度は3200MT/s。</x:v>
      </x:c>
    </x:row>
    <x:row r="372" ht="58" customHeight="1">
      <x:c r="A372" t="str">
        <x:v>memory-crucial-cp2k32g4dfra32a-official</x:v>
      </x:c>
      <x:c r="B372" t="str">
        <x:v>memory-crucial-cp2k32g4dfra32a</x:v>
      </x:c>
      <x:c r="C372" t="str">
        <x:v>manufacturer</x:v>
      </x:c>
      <x:c r="D372" s="121" t="str">
        <x:v>Crucial Pro CP2K32G4DFRA32A 公式仕様</x:v>
      </x:c>
      <x:c r="E372" s="121" t="str">
        <x:v>https://uk.crucial.com/memory/ddr4/cp2k32g4dfra32a</x:v>
      </x:c>
      <x:c r="F372" s="125" t="n">
        <x:v>46218</x:v>
      </x:c>
      <x:c r="G372" s="121" t="str">
        <x:v>identifiers.part_numbers
specs.warranty_class
specs.memory_type
specs.total_capacity_gb
specs.module_count
specs.data_rate_mt_s
specs.expo
specs.cas_latency
specs.voltage_v
specs.default_data_rate_mt_s</x:v>
      </x:c>
      <x:c r="H372" s="121" t="str">
        <x:v>Codex</x:v>
      </x:c>
      <x:c r="I372" s="121" t="str">
        <x:v>64GB (2×32GB)、DDR4-3200 CL22、1.20V、XMP 2.0、限定永久保証を確認。 標準SPD/JEDEC速度は3200MT/s。</x:v>
      </x:c>
    </x:row>
    <x:row r="373" ht="58" customHeight="1">
      <x:c r="A373" t="str">
        <x:v>gpu-asus-dual-rtx2060-6g-evo-official</x:v>
      </x:c>
      <x:c r="B373" t="str">
        <x:v>gpu-asus-dual-rtx2060-6g-evo</x:v>
      </x:c>
      <x:c r="C373" t="str">
        <x:v>manufacturer</x:v>
      </x:c>
      <x:c r="D373" s="121" t="str">
        <x:v>ASUS DUAL-RTX2060-6G-EVO 公式仕様</x:v>
      </x:c>
      <x:c r="E373" s="121" t="str">
        <x:v>https://www.asus.com/motherboards-components/graphics-cards/all-series/dual-rtx2060-6g-evo/techspec/</x:v>
      </x:c>
      <x:c r="F373" s="125" t="n">
        <x:v>46219</x:v>
      </x:c>
      <x:c r="G373" s="121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73" s="121" t="str">
        <x:v>Codex</x:v>
      </x:c>
      <x:c r="I373" s="121" t="str">
        <x:v>RTX 2060 6GB、242mm、2.5スロット、8ピン×1を確認。</x:v>
      </x:c>
    </x:row>
    <x:row r="374" ht="58" customHeight="1">
      <x:c r="A374" t="str">
        <x:v>gpu-asus-dual-rtx3060-o12g-v2-official</x:v>
      </x:c>
      <x:c r="B374" t="str">
        <x:v>gpu-asus-dual-rtx3060-o12g-v2</x:v>
      </x:c>
      <x:c r="C374" t="str">
        <x:v>manufacturer</x:v>
      </x:c>
      <x:c r="D374" s="121" t="str">
        <x:v>ASUS DUAL-RTX3060-O12G-V2 公式仕様</x:v>
      </x:c>
      <x:c r="E374" s="121" t="str">
        <x:v>https://www.asus.com/us/motherboards-components/graphics-cards/dual/dual-rtx3060-o12g-v2/techspec/</x:v>
      </x:c>
      <x:c r="F374" s="125" t="n">
        <x:v>46219</x:v>
      </x:c>
      <x:c r="G374" s="121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74" s="121" t="str">
        <x:v>Codex</x:v>
      </x:c>
      <x:c r="I374" s="121" t="str">
        <x:v>RTX 3060 12GB、200mm、2スロット、8ピン×1、OCモデルを確認。</x:v>
      </x:c>
    </x:row>
    <x:row r="375" ht="58" customHeight="1">
      <x:c r="A375" t="str">
        <x:v>gpu-asus-dual-rtx4060-o8g-official</x:v>
      </x:c>
      <x:c r="B375" t="str">
        <x:v>gpu-asus-dual-rtx4060-o8g</x:v>
      </x:c>
      <x:c r="C375" t="str">
        <x:v>manufacturer</x:v>
      </x:c>
      <x:c r="D375" t="str">
        <x:v>ASUS DUAL-RTX4060-O8G 公式仕様</x:v>
      </x:c>
      <x:c r="E375" t="str">
        <x:v>https://www.asus.com/br/motherboards-components/graphics-cards/dual/dual-rtx4060-o8g/techspec/</x:v>
      </x:c>
      <x:c r="F375" s="137" t="n">
        <x:v>46219</x:v>
      </x:c>
      <x:c r="G375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75" t="str">
        <x:v>Codex</x:v>
      </x:c>
      <x:c r="I375" t="str">
        <x:v>RTX 4060 8GB、227.2mm、2.5スロット、8ピン×1、OCモデルを確認。</x:v>
      </x:c>
    </x:row>
    <x:row r="376" ht="58" customHeight="1">
      <x:c r="A376" t="str">
        <x:v>gpu-asus-dual-rtx5060-o8g-official</x:v>
      </x:c>
      <x:c r="B376" t="str">
        <x:v>gpu-asus-dual-rtx5060-o8g</x:v>
      </x:c>
      <x:c r="C376" t="str">
        <x:v>manufacturer</x:v>
      </x:c>
      <x:c r="D376" t="str">
        <x:v>ASUS DUAL-RTX5060-O8G 公式仕様</x:v>
      </x:c>
      <x:c r="E376" t="str">
        <x:v>https://www.asus.com/us/motherboards-components/graphics-cards/dual/dual-rtx5060-o8g/techspec/</x:v>
      </x:c>
      <x:c r="F376" s="137" t="n">
        <x:v>46219</x:v>
      </x:c>
      <x:c r="G376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76" t="str">
        <x:v>Codex</x:v>
      </x:c>
      <x:c r="I376" t="str">
        <x:v>RTX 5060 8GB、228mm、2.5スロット、8ピン×1、OCモデルを確認。</x:v>
      </x:c>
    </x:row>
    <x:row r="377" ht="58" customHeight="1">
      <x:c r="A377" t="str">
        <x:v>gpu-msi-rtx2060-gaming-z-6g-official</x:v>
      </x:c>
      <x:c r="B377" t="str">
        <x:v>gpu-msi-rtx2060-gaming-z-6g</x:v>
      </x:c>
      <x:c r="C377" t="str">
        <x:v>manufacturer</x:v>
      </x:c>
      <x:c r="D377" t="str">
        <x:v>MSI GeForce RTX 2060 GAMING Z 6G 公式仕様</x:v>
      </x:c>
      <x:c r="E377" t="str">
        <x:v>https://www.msi.com/Graphics-Card/GeForce-RTX-2060-GAMING-Z-6G/Specification</x:v>
      </x:c>
      <x:c r="F377" s="137" t="n">
        <x:v>46219</x:v>
      </x:c>
      <x:c r="G377" t="str">
        <x:v>identifiers.part_numbers
specs.gpu_chip_id
specs.board_series
specs.board_model
specs.cooler_design_id
specs.factory_oc
specs.reference_design
specs.fan_count
specs.power_connector_standard
specs.length_mm
specs.tdp_w</x:v>
      </x:c>
      <x:c r="H377" t="str">
        <x:v>Codex</x:v>
      </x:c>
      <x:c r="I377" t="str">
        <x:v>RTX 2060 6GB、247mm、8ピン×1、消費電力190Wを確認。</x:v>
      </x:c>
    </x:row>
    <x:row r="378" ht="58" customHeight="1">
      <x:c r="A378" t="str">
        <x:v>gpu-msi-rtx3060-ventus-2x-12g-oc-official</x:v>
      </x:c>
      <x:c r="B378" t="str">
        <x:v>gpu-msi-rtx3060-ventus-2x-12g-oc</x:v>
      </x:c>
      <x:c r="C378" t="str">
        <x:v>manufacturer</x:v>
      </x:c>
      <x:c r="D378" t="str">
        <x:v>MSI GeForce RTX 3060 VENTUS 2X 12G OC 公式仕様</x:v>
      </x:c>
      <x:c r="E378" t="str">
        <x:v>https://www.msi.com/Graphics-Card/GeForce-RTX-3060-VENTUS-2X-12G-OC/Specification</x:v>
      </x:c>
      <x:c r="F378" s="137" t="n">
        <x:v>46219</x:v>
      </x:c>
      <x:c r="G378" t="str">
        <x:v>identifiers.part_numbers
specs.gpu_chip_id
specs.board_series
specs.board_model
specs.cooler_design_id
specs.factory_oc
specs.reference_design
specs.fan_count
specs.power_connector_standard
specs.length_mm
specs.tdp_w</x:v>
      </x:c>
      <x:c r="H378" t="str">
        <x:v>Codex</x:v>
      </x:c>
      <x:c r="I378" t="str">
        <x:v>RTX 3060 12GB、235mm、8ピン×1、消費電力170Wを確認。</x:v>
      </x:c>
    </x:row>
    <x:row r="379" ht="58" customHeight="1">
      <x:c r="A379" t="str">
        <x:v>gpu-msi-rtx4070-super-gaming-x-slim-12g-official</x:v>
      </x:c>
      <x:c r="B379" t="str">
        <x:v>gpu-msi-rtx4070-super-gaming-x-slim-12g</x:v>
      </x:c>
      <x:c r="C379" t="str">
        <x:v>manufacturer</x:v>
      </x:c>
      <x:c r="D379" t="str">
        <x:v>MSI GeForce RTX 4070 SUPER 12G GAMING X SLIM 公式仕様</x:v>
      </x:c>
      <x:c r="E379" t="str">
        <x:v>https://www.msi.com/Graphics-Card/GeForce-RTX-4070-SUPER-12G-GAMING-X-SLIM/Specification</x:v>
      </x:c>
      <x:c r="F379" s="137" t="n">
        <x:v>46219</x:v>
      </x:c>
      <x:c r="G379" t="str">
        <x:v>identifiers.part_numbers
specs.gpu_chip_id
specs.board_series
specs.board_model
specs.cooler_design_id
specs.factory_oc
specs.reference_design
specs.fan_count
specs.power_connector_standard
specs.length_mm
specs.tdp_w</x:v>
      </x:c>
      <x:c r="H379" t="str">
        <x:v>Codex</x:v>
      </x:c>
      <x:c r="I379" t="str">
        <x:v>RTX 4070 SUPER 12GB、307mm、16ピン×1、消費電力245Wを確認。</x:v>
      </x:c>
    </x:row>
    <x:row r="380" ht="58" customHeight="1">
      <x:c r="A380" t="str">
        <x:v>gpu-msi-g5070-12gtc-official</x:v>
      </x:c>
      <x:c r="B380" t="str">
        <x:v>gpu-msi-g5070-12gtc</x:v>
      </x:c>
      <x:c r="C380" t="str">
        <x:v>manufacturer</x:v>
      </x:c>
      <x:c r="D380" t="str">
        <x:v>MSI G5070-12GTC 公式仕様</x:v>
      </x:c>
      <x:c r="E380" t="str">
        <x:v>https://jp.msi.com/Graphics-Card/GeForce-RTX-5070-12G-GAMING-TRIO-OC/Specification</x:v>
      </x:c>
      <x:c r="F380" s="137" t="n">
        <x:v>46219</x:v>
      </x:c>
      <x:c r="G380" t="str">
        <x:v>identifiers.part_numbers
specs.gpu_chip_id
specs.board_series
specs.board_model
specs.cooler_design_id
specs.factory_oc
specs.reference_design
specs.fan_count
specs.power_connector_standard
specs.length_mm
specs.tdp_w</x:v>
      </x:c>
      <x:c r="H380" t="str">
        <x:v>Codex</x:v>
      </x:c>
      <x:c r="I380" t="str">
        <x:v>RTX 5070 12GB、338mm、16ピン×1、消費電力250W、製品型番G5070-12GTCを確認。</x:v>
      </x:c>
    </x:row>
    <x:row r="381" ht="58" customHeight="1">
      <x:c r="A381" t="str">
        <x:v>gpu-gigabyte-gv-n3060gaming-oc-12gd-rev-10-official</x:v>
      </x:c>
      <x:c r="B381" t="str">
        <x:v>gpu-gigabyte-gv-n3060gaming-oc-12gd-rev-10</x:v>
      </x:c>
      <x:c r="C381" t="str">
        <x:v>manufacturer</x:v>
      </x:c>
      <x:c r="D381" t="str">
        <x:v>GIGABYTE GV-N3060GAMING OC-12GD Rev. 1.0 公式仕様</x:v>
      </x:c>
      <x:c r="E381" t="str">
        <x:v>https://www.gigabyte.com/eu/Graphics-Card/GV-N3060GAMING-OC-12GD-rev-10/sp</x:v>
      </x:c>
      <x:c r="F381" s="137" t="n">
        <x:v>46219</x:v>
      </x:c>
      <x:c r="G381" t="str">
        <x:v>identifiers.part_numbers
specs.gpu_chip_id
specs.board_series
specs.board_model
specs.cooler_design_id
specs.factory_oc
specs.reference_design
specs.fan_count
specs.power_connector_standard
specs.length_mm</x:v>
      </x:c>
      <x:c r="H381" t="str">
        <x:v>Codex</x:v>
      </x:c>
      <x:c r="I381" t="str">
        <x:v>RTX 3060 12GB、Rev. 1.0、282mm、8ピン×1を確認。</x:v>
      </x:c>
    </x:row>
    <x:row r="382" ht="58" customHeight="1">
      <x:c r="A382" t="str">
        <x:v>gpu-gigabyte-gv-n5070gaming-oc-12gd-official</x:v>
      </x:c>
      <x:c r="B382" t="str">
        <x:v>gpu-gigabyte-gv-n5070gaming-oc-12gd</x:v>
      </x:c>
      <x:c r="C382" t="str">
        <x:v>manufacturer</x:v>
      </x:c>
      <x:c r="D382" t="str">
        <x:v>GIGABYTE GV-N5070GAMING OC-12GD 公式仕様</x:v>
      </x:c>
      <x:c r="E382" t="str">
        <x:v>https://www.gigabyte.com/de/Graphics-Card/GV-N5070GAMING-OC-12GD/sp</x:v>
      </x:c>
      <x:c r="F382" s="137" t="n">
        <x:v>46219</x:v>
      </x:c>
      <x:c r="G382" t="str">
        <x:v>identifiers.part_numbers
specs.gpu_chip_id
specs.board_series
specs.board_model
specs.cooler_design_id
specs.factory_oc
specs.reference_design
specs.fan_count
specs.power_connector_standard
specs.length_mm</x:v>
      </x:c>
      <x:c r="H382" t="str">
        <x:v>Codex</x:v>
      </x:c>
      <x:c r="I382" t="str">
        <x:v>RTX 5070 12GB、327mm、16ピン×1、製品型番を確認。</x:v>
      </x:c>
    </x:row>
    <x:row r="383" ht="58" customHeight="1">
      <x:c r="A383" t="str">
        <x:v>gpu-gigabyte-gv-r9070xtgaming-oc-16gd-official</x:v>
      </x:c>
      <x:c r="B383" t="str">
        <x:v>gpu-gigabyte-gv-r9070xtgaming-oc-16gd</x:v>
      </x:c>
      <x:c r="C383" t="str">
        <x:v>manufacturer</x:v>
      </x:c>
      <x:c r="D383" t="str">
        <x:v>GIGABYTE GV-R9070XTGAMING OC-16GD 公式仕様</x:v>
      </x:c>
      <x:c r="E383" t="str">
        <x:v>https://www.gigabyte.com/in/Graphics-Card/GV-R9070XTGAMING-OC-16GD/sp</x:v>
      </x:c>
      <x:c r="F383" s="137" t="n">
        <x:v>46219</x:v>
      </x:c>
      <x:c r="G383" t="str">
        <x:v>identifiers.part_numbers
specs.gpu_chip_id
specs.board_series
specs.board_model
specs.cooler_design_id
specs.factory_oc
specs.reference_design
specs.fan_count
specs.power_connector_standard
specs.length_mm</x:v>
      </x:c>
      <x:c r="H383" t="str">
        <x:v>Codex</x:v>
      </x:c>
      <x:c r="I383" t="str">
        <x:v>RX 9070 XT 16GB、288mm、8ピン×3、OCクロックを確認。</x:v>
      </x:c>
    </x:row>
    <x:row r="384" ht="58" customHeight="1">
      <x:c r="A384" t="str">
        <x:v>gpu-sapphire-11310-01-20g-official</x:v>
      </x:c>
      <x:c r="B384" t="str">
        <x:v>gpu-sapphire-11310-01-20g</x:v>
      </x:c>
      <x:c r="C384" t="str">
        <x:v>manufacturer</x:v>
      </x:c>
      <x:c r="D384" t="str">
        <x:v>SAPPHIRE 11310-01-20G 公式仕様</x:v>
      </x:c>
      <x:c r="E384" t="str">
        <x:v>https://www.sapphiretech.com/en/consumer/pulse-radeon-rx-6600-8g-gddr6</x:v>
      </x:c>
      <x:c r="F384" s="137" t="n">
        <x:v>46219</x:v>
      </x:c>
      <x:c r="G384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384" t="str">
        <x:v>Codex</x:v>
      </x:c>
      <x:c r="I384" t="str">
        <x:v>RX 6600 8GB、193mm、2スロット、8ピン×1、ボード電力140Wを確認。</x:v>
      </x:c>
    </x:row>
    <x:row r="385" ht="58" customHeight="1">
      <x:c r="A385" t="str">
        <x:v>gpu-sapphire-11324-01-20g-official</x:v>
      </x:c>
      <x:c r="B385" t="str">
        <x:v>gpu-sapphire-11324-01-20g</x:v>
      </x:c>
      <x:c r="C385" t="str">
        <x:v>manufacturer</x:v>
      </x:c>
      <x:c r="D385" t="str">
        <x:v>SAPPHIRE 11324-01-20G 公式仕様</x:v>
      </x:c>
      <x:c r="E385" t="str">
        <x:v>https://www.sapphiretech.com/en/consumer/pulse-radeon-rx-7600-8g-gddr6</x:v>
      </x:c>
      <x:c r="F385" s="137" t="n">
        <x:v>46219</x:v>
      </x:c>
      <x:c r="G385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385" t="str">
        <x:v>Codex</x:v>
      </x:c>
      <x:c r="I385" t="str">
        <x:v>RX 7600 8GB、240mm、2スロット、8ピン×1、ボード電力185Wを確認。</x:v>
      </x:c>
    </x:row>
    <x:row r="386" ht="58" customHeight="1">
      <x:c r="A386" t="str">
        <x:v>gpu-sapphire-11348-03-20g-official</x:v>
      </x:c>
      <x:c r="B386" t="str">
        <x:v>gpu-sapphire-11348-03-20g</x:v>
      </x:c>
      <x:c r="C386" t="str">
        <x:v>manufacturer</x:v>
      </x:c>
      <x:c r="D386" t="str">
        <x:v>SAPPHIRE 11348-03-20G 公式仕様</x:v>
      </x:c>
      <x:c r="E386" t="str">
        <x:v>https://www.sapphiretech.com/en/consumer/pulse-radeon-rx-9070-xt-16g-gddr6</x:v>
      </x:c>
      <x:c r="F386" s="137" t="n">
        <x:v>46219</x:v>
      </x:c>
      <x:c r="G386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386" t="str">
        <x:v>Codex</x:v>
      </x:c>
      <x:c r="I386" t="str">
        <x:v>RX 9070 XT 16GB、320mm、3スロット、8ピン×2、ボード電力304Wを確認。</x:v>
      </x:c>
    </x:row>
    <x:row r="387" ht="58" customHeight="1">
      <x:c r="A387" t="str">
        <x:v>gpu-powercolor-axrx-6650xt-8gbd6-3dhl-oc-official</x:v>
      </x:c>
      <x:c r="B387" t="str">
        <x:v>gpu-powercolor-axrx-6650xt-8gbd6-3dhl-oc</x:v>
      </x:c>
      <x:c r="C387" t="str">
        <x:v>manufacturer</x:v>
      </x:c>
      <x:c r="D387" t="str">
        <x:v>PowerColor AXRX 6650XT 8GBD6-3DHL/OC 公式仕様</x:v>
      </x:c>
      <x:c r="E387" t="str">
        <x:v>https://www.powercolor.com/product-detail28.htm</x:v>
      </x:c>
      <x:c r="F387" s="137" t="n">
        <x:v>46219</x:v>
      </x:c>
      <x:c r="G387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87" t="str">
        <x:v>Codex</x:v>
      </x:c>
      <x:c r="I387" t="str">
        <x:v>RX 6650 XT 8GB、220mm、2スロット、8ピン×1、OC/Silentクロックを確認。</x:v>
      </x:c>
    </x:row>
    <x:row r="388" ht="58" customHeight="1">
      <x:c r="A388" t="str">
        <x:v>gpu-powercolor-rx7800xt-16g-l-oc-official</x:v>
      </x:c>
      <x:c r="B388" t="str">
        <x:v>gpu-powercolor-rx7800xt-16g-l-oc</x:v>
      </x:c>
      <x:c r="C388" t="str">
        <x:v>manufacturer</x:v>
      </x:c>
      <x:c r="D388" t="str">
        <x:v>PowerColor RX7800XT 16G-L/OC 公式仕様</x:v>
      </x:c>
      <x:c r="E388" t="str">
        <x:v>https://www.powercolor.com/product-detail31.htm</x:v>
      </x:c>
      <x:c r="F388" s="137" t="n">
        <x:v>46219</x:v>
      </x:c>
      <x:c r="G388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88" t="str">
        <x:v>Codex</x:v>
      </x:c>
      <x:c r="I388" t="str">
        <x:v>RX 7800 XT 16GB、322mm、2.5スロット、8ピン×2、OC/Silentクロックを確認。</x:v>
      </x:c>
    </x:row>
    <x:row r="389" ht="58" customHeight="1">
      <x:c r="A389" t="str">
        <x:v>gpu-powercolor-rx9070xt-16g-l-oc-official</x:v>
      </x:c>
      <x:c r="B389" t="str">
        <x:v>gpu-powercolor-rx9070xt-16g-l-oc</x:v>
      </x:c>
      <x:c r="C389" t="str">
        <x:v>manufacturer</x:v>
      </x:c>
      <x:c r="D389" t="str">
        <x:v>PowerColor RX9070XT 16G-L/OC 公式仕様</x:v>
      </x:c>
      <x:c r="E389" t="str">
        <x:v>https://www.powercolor.com/product-detail211.htm</x:v>
      </x:c>
      <x:c r="F389" s="137" t="n">
        <x:v>46219</x:v>
      </x:c>
      <x:c r="G389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89" t="str">
        <x:v>Codex</x:v>
      </x:c>
      <x:c r="I389" t="str">
        <x:v>RX 9070 XT 16GB、327mm、2.5スロット、8ピン×2、OC/Silentクロックを確認。</x:v>
      </x:c>
    </x:row>
    <x:row r="390" ht="58" customHeight="1">
      <x:c r="A390" t="str">
        <x:v>gpu-asrock-rx6700xt-cld-12g-official</x:v>
      </x:c>
      <x:c r="B390" t="str">
        <x:v>gpu-asrock-rx6700xt-cld-12g</x:v>
      </x:c>
      <x:c r="C390" t="str">
        <x:v>manufacturer</x:v>
      </x:c>
      <x:c r="D390" t="str">
        <x:v>ASRock RX6700XT CLD 12G 公式仕様</x:v>
      </x:c>
      <x:c r="E390" t="str">
        <x:v>https://www.asrock.com/Graphics-Card/AMD/Radeon%20RX%206700%20XT%20Challenger%20D%2012GB/</x:v>
      </x:c>
      <x:c r="F390" s="137" t="n">
        <x:v>46219</x:v>
      </x:c>
      <x:c r="G390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0" t="str">
        <x:v>Codex</x:v>
      </x:c>
      <x:c r="I390" t="str">
        <x:v>RX 6700 XT 12GB、269mm、2.1スロット、8ピン×2、デュアルファンを確認。</x:v>
      </x:c>
    </x:row>
    <x:row r="391" ht="58" customHeight="1">
      <x:c r="A391" t="str">
        <x:v>gpu-asrock-rx7900xtx-pg-24go-official</x:v>
      </x:c>
      <x:c r="B391" t="str">
        <x:v>gpu-asrock-rx7900xtx-pg-24go</x:v>
      </x:c>
      <x:c r="C391" t="str">
        <x:v>manufacturer</x:v>
      </x:c>
      <x:c r="D391" t="str">
        <x:v>ASRock RX7900XTX PG 24GO 公式仕様</x:v>
      </x:c>
      <x:c r="E391" t="str">
        <x:v>https://pg.asrock.com/Graphics-Card/AMD/Radeon%20RX%207900%20XTX%20Phantom%20Gaming%2024GB%20OC/</x:v>
      </x:c>
      <x:c r="F391" s="137" t="n">
        <x:v>46219</x:v>
      </x:c>
      <x:c r="G391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1" t="str">
        <x:v>Codex</x:v>
      </x:c>
      <x:c r="I391" t="str">
        <x:v>RX 7900 XTX 24GB、330mm、2.8スロット、8ピン×3、OCモデルを確認。</x:v>
      </x:c>
    </x:row>
    <x:row r="392" ht="58" customHeight="1">
      <x:c r="A392" t="str">
        <x:v>gpu-asrock-rx9070xt-sl-16g-official</x:v>
      </x:c>
      <x:c r="B392" t="str">
        <x:v>gpu-asrock-rx9070xt-sl-16g</x:v>
      </x:c>
      <x:c r="C392" t="str">
        <x:v>manufacturer</x:v>
      </x:c>
      <x:c r="D392" t="str">
        <x:v>ASRock RX9070XT SL 16G 公式仕様</x:v>
      </x:c>
      <x:c r="E392" t="str">
        <x:v>https://www.asrock.com/Graphics-Card/AMD/Radeon%20RX%209070%20XT%20Steel%20Legend%2016GB/index.pt.asp</x:v>
      </x:c>
      <x:c r="F392" s="137" t="n">
        <x:v>46219</x:v>
      </x:c>
      <x:c r="G392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2" t="str">
        <x:v>Codex</x:v>
      </x:c>
      <x:c r="I392" t="str">
        <x:v>RX 9070 XT 16GB、298mm、2.9スロット、8ピン×2、トリプルファンを確認。</x:v>
      </x:c>
    </x:row>
    <x:row r="393" ht="58" customHeight="1">
      <x:c r="A393" t="str">
        <x:v>gpu-asus-tuf-rtx3080-o10g-gaming-official</x:v>
      </x:c>
      <x:c r="B393" t="str">
        <x:v>gpu-asus-tuf-rtx3080-o10g-gaming</x:v>
      </x:c>
      <x:c r="C393" t="str">
        <x:v>manufacturer</x:v>
      </x:c>
      <x:c r="D393" t="str">
        <x:v>ASUS TUF-RTX3080-O10G-GAMING 公式仕様</x:v>
      </x:c>
      <x:c r="E393" t="str">
        <x:v>https://www.asus.com/jp/motherboards-components/graphics-cards/tuf-gaming/tuf-rtx3080-o10g-gaming/techspec/</x:v>
      </x:c>
      <x:c r="F393" s="137" t="n">
        <x:v>46219</x:v>
      </x:c>
      <x:c r="G393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3" t="str">
        <x:v>Codex</x:v>
      </x:c>
      <x:c r="I393" t="str">
        <x:v>RTX 3080 10GB、299.9mm、2.7スロット、8ピン×2を確認。</x:v>
      </x:c>
    </x:row>
    <x:row r="394" ht="58" customHeight="1">
      <x:c r="A394" t="str">
        <x:v>gpu-asus-dual-rtx4060ti-o16g-official</x:v>
      </x:c>
      <x:c r="B394" t="str">
        <x:v>gpu-asus-dual-rtx4060ti-o16g</x:v>
      </x:c>
      <x:c r="C394" t="str">
        <x:v>manufacturer</x:v>
      </x:c>
      <x:c r="D394" t="str">
        <x:v>ASUS DUAL-RTX4060TI-O16G 公式仕様</x:v>
      </x:c>
      <x:c r="E394" t="str">
        <x:v>https://www.asus.com/motherboards-components/graphics-cards/dual/dual-rtx4060ti-o16g/techspec/</x:v>
      </x:c>
      <x:c r="F394" s="137" t="n">
        <x:v>46219</x:v>
      </x:c>
      <x:c r="G394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4" t="str">
        <x:v>Codex</x:v>
      </x:c>
      <x:c r="I394" t="str">
        <x:v>RTX 4060 Ti 16GB、227.2mm、2.5スロット、8ピン×1を確認。</x:v>
      </x:c>
    </x:row>
    <x:row r="395" ht="58" customHeight="1">
      <x:c r="A395" t="str">
        <x:v>gpu-asus-tuf-rtx4090-o24g-gaming-official</x:v>
      </x:c>
      <x:c r="B395" t="str">
        <x:v>gpu-asus-tuf-rtx4090-o24g-gaming</x:v>
      </x:c>
      <x:c r="C395" t="str">
        <x:v>manufacturer</x:v>
      </x:c>
      <x:c r="D395" t="str">
        <x:v>ASUS TUF-RTX4090-O24G-GAMING 公式仕様</x:v>
      </x:c>
      <x:c r="E395" t="str">
        <x:v>https://www.asus.com/motherboards-components/graphics-cards/tuf-gaming/tuf-rtx4090-o24g-gaming/techspec/</x:v>
      </x:c>
      <x:c r="F395" s="137" t="n">
        <x:v>46219</x:v>
      </x:c>
      <x:c r="G395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5" t="str">
        <x:v>Codex</x:v>
      </x:c>
      <x:c r="I395" t="str">
        <x:v>RTX 4090 24GB、348.2mm、3.65スロット、16ピン×1を確認。</x:v>
      </x:c>
    </x:row>
    <x:row r="396" ht="58" customHeight="1">
      <x:c r="A396" t="str">
        <x:v>gpu-asus-tuf-rtx5080-o16g-gaming-official</x:v>
      </x:c>
      <x:c r="B396" t="str">
        <x:v>gpu-asus-tuf-rtx5080-o16g-gaming</x:v>
      </x:c>
      <x:c r="C396" t="str">
        <x:v>manufacturer</x:v>
      </x:c>
      <x:c r="D396" t="str">
        <x:v>ASUS TUF-RTX5080-O16G-GAMING 公式仕様</x:v>
      </x:c>
      <x:c r="E396" t="str">
        <x:v>https://www.asus.com/ca-en/motherboards-components/graphics-cards/tuf-gaming/tuf-rtx5080-o16g-gaming/techspec/</x:v>
      </x:c>
      <x:c r="F396" s="137" t="n">
        <x:v>46219</x:v>
      </x:c>
      <x:c r="G396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6" t="str">
        <x:v>Codex</x:v>
      </x:c>
      <x:c r="I396" t="str">
        <x:v>RTX 5080 16GB、348mm、3.6スロット、16ピン×1を確認。</x:v>
      </x:c>
    </x:row>
    <x:row r="397" ht="58" customHeight="1">
      <x:c r="A397" t="str">
        <x:v>gpu-msi-rtx3070-gaming-x-trio-official</x:v>
      </x:c>
      <x:c r="B397" t="str">
        <x:v>gpu-msi-rtx3070-gaming-x-trio</x:v>
      </x:c>
      <x:c r="C397" t="str">
        <x:v>manufacturer</x:v>
      </x:c>
      <x:c r="D397" t="str">
        <x:v>MSI GeForce RTX 3070 GAMING X TRIO 公式仕様</x:v>
      </x:c>
      <x:c r="E397" t="str">
        <x:v>https://www.msi.com/Graphics-Card/GeForce-RTX-3070-GAMING-X-TRIO/Specification</x:v>
      </x:c>
      <x:c r="F397" s="137" t="n">
        <x:v>46219</x:v>
      </x:c>
      <x:c r="G397" t="str">
        <x:v>identifiers.part_numbers
specs.gpu_chip_id
specs.board_series
specs.board_model
specs.cooler_design_id
specs.factory_oc
specs.reference_design
specs.fan_count
specs.power_connector_standard
specs.length_mm
specs.tdp_w</x:v>
      </x:c>
      <x:c r="H397" t="str">
        <x:v>Codex</x:v>
      </x:c>
      <x:c r="I397" t="str">
        <x:v>RTX 3070 8GB、323mm、8ピン×2、消費電力240Wを確認。</x:v>
      </x:c>
    </x:row>
    <x:row r="398" ht="58" customHeight="1">
      <x:c r="A398" t="str">
        <x:v>gpu-msi-rtx3080-suprim-x-10g-official</x:v>
      </x:c>
      <x:c r="B398" t="str">
        <x:v>gpu-msi-rtx3080-suprim-x-10g</x:v>
      </x:c>
      <x:c r="C398" t="str">
        <x:v>manufacturer</x:v>
      </x:c>
      <x:c r="D398" t="str">
        <x:v>MSI GeForce RTX 3080 SUPRIM X 10G 公式仕様</x:v>
      </x:c>
      <x:c r="E398" t="str">
        <x:v>https://us.msi.com/Graphics-Card/GeForce-RTX-3080-SUPRIM-X-10G/Specification</x:v>
      </x:c>
      <x:c r="F398" s="137" t="n">
        <x:v>46219</x:v>
      </x:c>
      <x:c r="G398" t="str">
        <x:v>identifiers.part_numbers
specs.gpu_chip_id
specs.board_series
specs.board_model
specs.cooler_design_id
specs.factory_oc
specs.reference_design
specs.fan_count
specs.power_connector_standard
specs.length_mm
specs.tdp_w</x:v>
      </x:c>
      <x:c r="H398" t="str">
        <x:v>Codex</x:v>
      </x:c>
      <x:c r="I398" t="str">
        <x:v>RTX 3080 10GB、336mm、8ピン×3、消費電力370Wを確認。</x:v>
      </x:c>
    </x:row>
    <x:row r="399" ht="58" customHeight="1">
      <x:c r="A399" t="str">
        <x:v>gpu-msi-rtx4090-suprim-x-24g-official</x:v>
      </x:c>
      <x:c r="B399" t="str">
        <x:v>gpu-msi-rtx4090-suprim-x-24g</x:v>
      </x:c>
      <x:c r="C399" t="str">
        <x:v>manufacturer</x:v>
      </x:c>
      <x:c r="D399" t="str">
        <x:v>MSI GeForce RTX 4090 SUPRIM X 24G 公式仕様</x:v>
      </x:c>
      <x:c r="E399" t="str">
        <x:v>https://uk.msi.com/Graphics-Card/GeForce-RTX-4090-SUPRIM-X-24G/Specification</x:v>
      </x:c>
      <x:c r="F399" s="137" t="n">
        <x:v>46219</x:v>
      </x:c>
      <x:c r="G399" t="str">
        <x:v>identifiers.part_numbers
specs.gpu_chip_id
specs.board_series
specs.board_model
specs.cooler_design_id
specs.factory_oc
specs.reference_design
specs.fan_count
specs.power_connector_standard
specs.length_mm
specs.tdp_w</x:v>
      </x:c>
      <x:c r="H399" t="str">
        <x:v>Codex</x:v>
      </x:c>
      <x:c r="I399" t="str">
        <x:v>RTX 4090 24GB、336mm、16ピン×1、Gaming BIOS時480Wを確認。</x:v>
      </x:c>
    </x:row>
    <x:row r="400" ht="58" customHeight="1">
      <x:c r="A400" t="str">
        <x:v>gpu-msi-g5080-16gtc-official</x:v>
      </x:c>
      <x:c r="B400" t="str">
        <x:v>gpu-msi-g5080-16gtc</x:v>
      </x:c>
      <x:c r="C400" t="str">
        <x:v>manufacturer</x:v>
      </x:c>
      <x:c r="D400" t="str">
        <x:v>MSI G5080-16GTC 公式仕様</x:v>
      </x:c>
      <x:c r="E400" t="str">
        <x:v>https://www.msi.com/Graphics-Card/GeForce-RTX-5080-16G-GAMING-TRIO-OC/Specification</x:v>
      </x:c>
      <x:c r="F400" s="137" t="n">
        <x:v>46219</x:v>
      </x:c>
      <x:c r="G400" t="str">
        <x:v>identifiers.part_numbers
specs.gpu_chip_id
specs.board_series
specs.board_model
specs.cooler_design_id
specs.factory_oc
specs.reference_design
specs.fan_count
specs.power_connector_standard
specs.length_mm
specs.tdp_w</x:v>
      </x:c>
      <x:c r="H400" t="str">
        <x:v>Codex</x:v>
      </x:c>
      <x:c r="I400" t="str">
        <x:v>RTX 5080 16GB、338mm、16ピン×1、消費電力360Wを確認。</x:v>
      </x:c>
    </x:row>
    <x:row r="401" ht="58" customHeight="1">
      <x:c r="A401" t="str">
        <x:v>gpu-gigabyte-gv-n208taorus-11gc-official</x:v>
      </x:c>
      <x:c r="B401" t="str">
        <x:v>gpu-gigabyte-gv-n208taorus-11gc</x:v>
      </x:c>
      <x:c r="C401" t="str">
        <x:v>manufacturer</x:v>
      </x:c>
      <x:c r="D401" t="str">
        <x:v>GIGABYTE GV-N208TAORUS-11GC 公式仕様</x:v>
      </x:c>
      <x:c r="E401" t="str">
        <x:v>https://www.gigabyte.com/us/Graphics-Card/GV-N208TAORUS-11GC/sp</x:v>
      </x:c>
      <x:c r="F401" s="137" t="n">
        <x:v>46219</x:v>
      </x:c>
      <x:c r="G401" t="str">
        <x:v>identifiers.part_numbers
specs.gpu_chip_id
specs.board_series
specs.board_model
specs.cooler_design_id
specs.factory_oc
specs.reference_design
specs.fan_count
specs.power_connector_standard
specs.length_mm</x:v>
      </x:c>
      <x:c r="H401" t="str">
        <x:v>Codex</x:v>
      </x:c>
      <x:c r="I401" t="str">
        <x:v>RTX 2080 Ti 11GB、290mm、8ピン×2、WINDFORCE Stack 3Xを確認。</x:v>
      </x:c>
    </x:row>
    <x:row r="402" ht="58" customHeight="1">
      <x:c r="A402" t="str">
        <x:v>gpu-gigabyte-gv-n3070gaming-oc-8gd-rev-10-official</x:v>
      </x:c>
      <x:c r="B402" t="str">
        <x:v>gpu-gigabyte-gv-n3070gaming-oc-8gd-rev-10</x:v>
      </x:c>
      <x:c r="C402" t="str">
        <x:v>manufacturer</x:v>
      </x:c>
      <x:c r="D402" t="str">
        <x:v>GIGABYTE GV-N3070GAMING OC-8GD Rev. 1.0 公式仕様</x:v>
      </x:c>
      <x:c r="E402" t="str">
        <x:v>https://www.gigabyte.com/in/Graphics-Card/GV-N3070GAMING-OC-8GD-rev-10/sp</x:v>
      </x:c>
      <x:c r="F402" s="137" t="n">
        <x:v>46219</x:v>
      </x:c>
      <x:c r="G402" t="str">
        <x:v>identifiers.part_numbers
specs.gpu_chip_id
specs.board_series
specs.board_model
specs.cooler_design_id
specs.factory_oc
specs.reference_design
specs.fan_count
specs.power_connector_standard
specs.length_mm</x:v>
      </x:c>
      <x:c r="H402" t="str">
        <x:v>Codex</x:v>
      </x:c>
      <x:c r="I402" t="str">
        <x:v>RTX 3070 8GB、Rev. 1.0、286mm、8ピン+6ピンを確認。</x:v>
      </x:c>
    </x:row>
    <x:row r="403" ht="58" customHeight="1">
      <x:c r="A403" t="str">
        <x:v>gpu-gigabyte-gv-n4090gaming-oc-24gd-rev-10-11-official</x:v>
      </x:c>
      <x:c r="B403" t="str">
        <x:v>gpu-gigabyte-gv-n4090gaming-oc-24gd-rev-10-11</x:v>
      </x:c>
      <x:c r="C403" t="str">
        <x:v>manufacturer</x:v>
      </x:c>
      <x:c r="D403" t="str">
        <x:v>GIGABYTE GV-N4090GAMING OC-24GD Rev. 1.0 / 1.1 公式仕様</x:v>
      </x:c>
      <x:c r="E403" t="str">
        <x:v>https://www.gigabyte.com/us/Graphics-Card/GV-N4090GAMING-OC-24GD-rev-10-11/sp</x:v>
      </x:c>
      <x:c r="F403" s="137" t="n">
        <x:v>46219</x:v>
      </x:c>
      <x:c r="G403" t="str">
        <x:v>identifiers.part_numbers
specs.gpu_chip_id
specs.board_series
specs.board_model
specs.cooler_design_id
specs.factory_oc
specs.reference_design
specs.fan_count
specs.power_connector_standard
specs.length_mm</x:v>
      </x:c>
      <x:c r="H403" t="str">
        <x:v>Codex</x:v>
      </x:c>
      <x:c r="I403" t="str">
        <x:v>RTX 4090 24GB、Rev. 1.0/1.1、340mm、16ピン×1を確認。</x:v>
      </x:c>
    </x:row>
    <x:row r="404" ht="58" customHeight="1">
      <x:c r="A404" t="str">
        <x:v>gpu-gigabyte-gv-n5090gaming-oc-32gd-official</x:v>
      </x:c>
      <x:c r="B404" t="str">
        <x:v>gpu-gigabyte-gv-n5090gaming-oc-32gd</x:v>
      </x:c>
      <x:c r="C404" t="str">
        <x:v>manufacturer</x:v>
      </x:c>
      <x:c r="D404" t="str">
        <x:v>GIGABYTE GV-N5090GAMING OC-32GD 公式仕様</x:v>
      </x:c>
      <x:c r="E404" t="str">
        <x:v>https://www.gigabyte.com/us/Graphics-Card/GV-N5090GAMING-OC-32GD/sp</x:v>
      </x:c>
      <x:c r="F404" s="137" t="n">
        <x:v>46219</x:v>
      </x:c>
      <x:c r="G404" t="str">
        <x:v>identifiers.part_numbers
specs.gpu_chip_id
specs.board_series
specs.board_model
specs.cooler_design_id
specs.factory_oc
specs.reference_design
specs.fan_count
specs.power_connector_standard
specs.length_mm</x:v>
      </x:c>
      <x:c r="H404" t="str">
        <x:v>Codex</x:v>
      </x:c>
      <x:c r="I404" t="str">
        <x:v>RTX 5090 32GB、342mm、補助電源仕様と変換アダプター同梱を確認。</x:v>
      </x:c>
    </x:row>
    <x:row r="405" ht="58" customHeight="1">
      <x:c r="A405" t="str">
        <x:v>gpu-sapphire-11304-03-20g-official</x:v>
      </x:c>
      <x:c r="B405" t="str">
        <x:v>gpu-sapphire-11304-03-20g</x:v>
      </x:c>
      <x:c r="C405" t="str">
        <x:v>manufacturer</x:v>
      </x:c>
      <x:c r="D405" t="str">
        <x:v>SAPPHIRE 11304-03-20G 公式仕様</x:v>
      </x:c>
      <x:c r="E405" t="str">
        <x:v>https://www.sapphiretech.com/en/consumer/pulse-radeon-rx-6800-xt-16g-gddr6</x:v>
      </x:c>
      <x:c r="F405" s="137" t="n">
        <x:v>46219</x:v>
      </x:c>
      <x:c r="G405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405" t="str">
        <x:v>Codex</x:v>
      </x:c>
      <x:c r="I405" t="str">
        <x:v>RX 6800 XT 16GB、313mm、2.7スロット、8ピン×2、ボード電力350Wを確認。</x:v>
      </x:c>
    </x:row>
    <x:row r="406" ht="58" customHeight="1">
      <x:c r="A406" t="str">
        <x:v>gpu-sapphire-11317-04-20g-official</x:v>
      </x:c>
      <x:c r="B406" t="str">
        <x:v>gpu-sapphire-11317-04-20g</x:v>
      </x:c>
      <x:c r="C406" t="str">
        <x:v>manufacturer</x:v>
      </x:c>
      <x:c r="D406" t="str">
        <x:v>SAPPHIRE 11317-04-20G 公式仕様</x:v>
      </x:c>
      <x:c r="E406" t="str">
        <x:v>https://nation.sapphiretech.com/en/consumer/nitro-radeon-rx-6950-xt-pure-16g-gddr6</x:v>
      </x:c>
      <x:c r="F406" s="137" t="n">
        <x:v>46219</x:v>
      </x:c>
      <x:c r="G406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406" t="str">
        <x:v>Codex</x:v>
      </x:c>
      <x:c r="I406" t="str">
        <x:v>RX 6950 XT 16GB、320mm、3.5スロット、8ピン×2+6ピン、ボード電力405Wを確認。</x:v>
      </x:c>
    </x:row>
    <x:row r="407" ht="58" customHeight="1">
      <x:c r="A407" t="str">
        <x:v>gpu-sapphire-11330-03-20g-official</x:v>
      </x:c>
      <x:c r="B407" t="str">
        <x:v>gpu-sapphire-11330-03-20g</x:v>
      </x:c>
      <x:c r="C407" t="str">
        <x:v>manufacturer</x:v>
      </x:c>
      <x:c r="D407" t="str">
        <x:v>SAPPHIRE 11330-03-20G 公式仕様</x:v>
      </x:c>
      <x:c r="E407" t="str">
        <x:v>https://nation.sapphiretech.com/en/consumer/pure-radeon-rx-7800-xt-16g-gddr6</x:v>
      </x:c>
      <x:c r="F407" s="137" t="n">
        <x:v>46219</x:v>
      </x:c>
      <x:c r="G407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407" t="str">
        <x:v>Codex</x:v>
      </x:c>
      <x:c r="I407" t="str">
        <x:v>RX 7800 XT 16GB、320mm、2.5スロット、8ピン×2、ボード電力270Wを確認。</x:v>
      </x:c>
    </x:row>
    <x:row r="408" ht="58" customHeight="1">
      <x:c r="A408" t="str">
        <x:v>gpu-sapphire-11350-03-20g-official</x:v>
      </x:c>
      <x:c r="B408" t="str">
        <x:v>gpu-sapphire-11350-03-20g</x:v>
      </x:c>
      <x:c r="C408" t="str">
        <x:v>manufacturer</x:v>
      </x:c>
      <x:c r="D408" t="str">
        <x:v>SAPPHIRE 11350-03-20G 公式仕様</x:v>
      </x:c>
      <x:c r="E408" t="str">
        <x:v>https://www.sapphiretech.com/en/consumer/pulse-radeon-rx-9060-xt-16g-gddr6</x:v>
      </x:c>
      <x:c r="F408" s="137" t="n">
        <x:v>46219</x:v>
      </x:c>
      <x:c r="G408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408" t="str">
        <x:v>Codex</x:v>
      </x:c>
      <x:c r="I408" t="str">
        <x:v>RX 9060 XT 16GB、240mm、2.3スロット、8ピン×1、ボード電力170Wを確認。</x:v>
      </x:c>
    </x:row>
    <x:row r="409" ht="58" customHeight="1">
      <x:c r="A409" t="str">
        <x:v>gpu-powercolor-axrx-6800xt-16gbd6-3dhr-oc-official</x:v>
      </x:c>
      <x:c r="B409" t="str">
        <x:v>gpu-powercolor-axrx-6800xt-16gbd6-3dhr-oc</x:v>
      </x:c>
      <x:c r="C409" t="str">
        <x:v>manufacturer</x:v>
      </x:c>
      <x:c r="D409" t="str">
        <x:v>PowerColor AXRX 6800 XT 16GBD6-3DHR/OC 公式仕様</x:v>
      </x:c>
      <x:c r="E409" t="str">
        <x:v>https://www.powercolor.com/product-detail192.htm</x:v>
      </x:c>
      <x:c r="F409" s="137" t="n">
        <x:v>46219</x:v>
      </x:c>
      <x:c r="G409" t="str">
        <x:v>identifiers.part_numbers
specs.gpu_chip_id
specs.board_series
specs.board_model
specs.cooler_design_id
specs.factory_oc
specs.reference_design
specs.fan_count
specs.power_connector_standard
specs.length_mm</x:v>
      </x:c>
      <x:c r="H409" t="str">
        <x:v>Codex</x:v>
      </x:c>
      <x:c r="I409" t="str">
        <x:v>RX 6800 XT 16GB、310mm、8ピン×2、トリプルファンを確認。</x:v>
      </x:c>
    </x:row>
    <x:row r="410" ht="58" customHeight="1">
      <x:c r="A410" t="str">
        <x:v>gpu-powercolor-rx7900xt-20g-l-oc-official</x:v>
      </x:c>
      <x:c r="B410" t="str">
        <x:v>gpu-powercolor-rx7900xt-20g-l-oc</x:v>
      </x:c>
      <x:c r="C410" t="str">
        <x:v>manufacturer</x:v>
      </x:c>
      <x:c r="D410" t="str">
        <x:v>PowerColor RX7900XT 20G-L/OC 公式仕様</x:v>
      </x:c>
      <x:c r="E410" t="str">
        <x:v>https://www.powercolor.com/product-detail120.htm</x:v>
      </x:c>
      <x:c r="F410" s="137" t="n">
        <x:v>46219</x:v>
      </x:c>
      <x:c r="G410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0" t="str">
        <x:v>Codex</x:v>
      </x:c>
      <x:c r="I410" t="str">
        <x:v>RX 7900 XT 20GB、320mm、3スロット、8ピン×2、OC/Silent BIOSを確認。</x:v>
      </x:c>
    </x:row>
    <x:row r="411" ht="58" customHeight="1">
      <x:c r="A411" t="str">
        <x:v>gpu-powercolor-rx7900gre-16g-l-oc-official</x:v>
      </x:c>
      <x:c r="B411" t="str">
        <x:v>gpu-powercolor-rx7900gre-16g-l-oc</x:v>
      </x:c>
      <x:c r="C411" t="str">
        <x:v>manufacturer</x:v>
      </x:c>
      <x:c r="D411" t="str">
        <x:v>PowerColor RX7900GRE 16G-L/OC 公式仕様</x:v>
      </x:c>
      <x:c r="E411" t="str">
        <x:v>https://www.powercolor.com/product-detail185.htm</x:v>
      </x:c>
      <x:c r="F411" s="137" t="n">
        <x:v>46219</x:v>
      </x:c>
      <x:c r="G411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1" t="str">
        <x:v>Codex</x:v>
      </x:c>
      <x:c r="I411" t="str">
        <x:v>RX 7900 GRE 16GB、322mm、2.5スロット、8ピン×2、OC/Silent BIOSを確認。</x:v>
      </x:c>
    </x:row>
    <x:row r="412" ht="58" customHeight="1">
      <x:c r="A412" t="str">
        <x:v>gpu-powercolor-rx9070-16g-l-oc-official</x:v>
      </x:c>
      <x:c r="B412" t="str">
        <x:v>gpu-powercolor-rx9070-16g-l-oc</x:v>
      </x:c>
      <x:c r="C412" t="str">
        <x:v>manufacturer</x:v>
      </x:c>
      <x:c r="D412" t="str">
        <x:v>PowerColor RX9070 16G-L/OC 公式仕様</x:v>
      </x:c>
      <x:c r="E412" t="str">
        <x:v>https://www.powercolor.com/product-detail214.htm</x:v>
      </x:c>
      <x:c r="F412" s="137" t="n">
        <x:v>46219</x:v>
      </x:c>
      <x:c r="G412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2" t="str">
        <x:v>Codex</x:v>
      </x:c>
      <x:c r="I412" t="str">
        <x:v>RX 9070 16GB、327mm、2スロット、8ピン×2、Honeywell PTM7950を確認。</x:v>
      </x:c>
    </x:row>
    <x:row r="413" ht="58" customHeight="1">
      <x:c r="A413" t="str">
        <x:v>gpu-asrock-rx6400-cli-4g-official</x:v>
      </x:c>
      <x:c r="B413" t="str">
        <x:v>gpu-asrock-rx6400-cli-4g</x:v>
      </x:c>
      <x:c r="C413" t="str">
        <x:v>manufacturer</x:v>
      </x:c>
      <x:c r="D413" t="str">
        <x:v>ASRock RX6400 CLI 4G 公式仕様</x:v>
      </x:c>
      <x:c r="E413" t="str">
        <x:v>https://www.asrock.com/Graphics-Card/AMD/Radeon%20RX%206400%20Challenger%20ITX%204GB/</x:v>
      </x:c>
      <x:c r="F413" s="137" t="n">
        <x:v>46219</x:v>
      </x:c>
      <x:c r="G413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3" t="str">
        <x:v>Codex</x:v>
      </x:c>
      <x:c r="I413" t="str">
        <x:v>RX 6400 4GB、162mm、2スロット、補助電源不要を確認。</x:v>
      </x:c>
    </x:row>
    <x:row r="414" ht="58" customHeight="1">
      <x:c r="A414" t="str">
        <x:v>gpu-asrock-rx6500xt-cli-4g-official</x:v>
      </x:c>
      <x:c r="B414" t="str">
        <x:v>gpu-asrock-rx6500xt-cli-4g</x:v>
      </x:c>
      <x:c r="C414" t="str">
        <x:v>manufacturer</x:v>
      </x:c>
      <x:c r="D414" t="str">
        <x:v>ASRock RX6500XT CLI 4G 公式仕様</x:v>
      </x:c>
      <x:c r="E414" t="str">
        <x:v>https://www.asrock.com/Graphics-Card/AMD/Radeon%20RX%206500%20XT%20Challenger%20ITX%204GB/index.asp</x:v>
      </x:c>
      <x:c r="F414" s="137" t="n">
        <x:v>46219</x:v>
      </x:c>
      <x:c r="G414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4" t="str">
        <x:v>Codex</x:v>
      </x:c>
      <x:c r="I414" t="str">
        <x:v>RX 6500 XT 4GB、179mm、2スロット、8ピン×1を確認。</x:v>
      </x:c>
    </x:row>
    <x:row r="415" ht="58" customHeight="1">
      <x:c r="A415" t="str">
        <x:v>gpu-asrock-rx7600xt-sl-16go-official</x:v>
      </x:c>
      <x:c r="B415" t="str">
        <x:v>gpu-asrock-rx7600xt-sl-16go</x:v>
      </x:c>
      <x:c r="C415" t="str">
        <x:v>manufacturer</x:v>
      </x:c>
      <x:c r="D415" t="str">
        <x:v>ASRock RX7600XT SL 16GO 公式仕様</x:v>
      </x:c>
      <x:c r="E415" t="str">
        <x:v>https://www.asrock.com/Graphics-Card/AMD/Radeon%20RX%207600%20XT%20Steel%20Legend%2016GB%20OC/index.asp</x:v>
      </x:c>
      <x:c r="F415" s="137" t="n">
        <x:v>46219</x:v>
      </x:c>
      <x:c r="G415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5" t="str">
        <x:v>Codex</x:v>
      </x:c>
      <x:c r="I415" t="str">
        <x:v>RX 7600 XT 16GB、304mm、2.6スロット、8ピン×2を確認。</x:v>
      </x:c>
    </x:row>
    <x:row r="416" ht="58" customHeight="1">
      <x:c r="A416" t="str">
        <x:v>gpu-asrock-rx9060xt-sl-16go-official</x:v>
      </x:c>
      <x:c r="B416" t="str">
        <x:v>gpu-asrock-rx9060xt-sl-16go</x:v>
      </x:c>
      <x:c r="C416" t="str">
        <x:v>manufacturer</x:v>
      </x:c>
      <x:c r="D416" t="str">
        <x:v>ASRock RX9060XT SL 16GO 公式仕様</x:v>
      </x:c>
      <x:c r="E416" t="str">
        <x:v>https://www.asrock.com/Graphics-Card/AMD/Radeon%20RX%209060%20XT%20Steel%20Legend%2016GB%20OC/</x:v>
      </x:c>
      <x:c r="F416" s="137" t="n">
        <x:v>46219</x:v>
      </x:c>
      <x:c r="G416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6" t="str">
        <x:v>Codex</x:v>
      </x:c>
      <x:c r="I416" t="str">
        <x:v>RX 9060 XT 16GB、298mm、2.55スロット、8ピン×1を確認。</x:v>
      </x:c>
    </x:row>
    <x:row r="417" ht="58" customHeight="1">
      <x:c r="A417" t="str">
        <x:v>motherboard-asus-tuf-gaming-b650-plus-wifi-official-specs</x:v>
      </x:c>
      <x:c r="B417" t="str">
        <x:v>motherboard-asus-tuf-gaming-b650-plus-wifi</x:v>
      </x:c>
      <x:c r="C417" t="str">
        <x:v>manufacturer</x:v>
      </x:c>
      <x:c r="D417" t="str">
        <x:v>ASUS TUF GAMING B650-PLUS WIFI 公式仕様</x:v>
      </x:c>
      <x:c r="E417" t="str">
        <x:v>https://www.asus.com/motherboards-components/motherboards/tuf-gaming/tuf-gaming-b650-plus-wifi/techspec/</x:v>
      </x:c>
      <x:c r="F417" s="137" t="n">
        <x:v>46219</x:v>
      </x:c>
      <x:c r="G417" t="str">
        <x:v>brand
model
display_name
identifiers.part_numbers
specs.release_date_precision
specs.socket
specs.chipset
specs.memory_type
specs.form_factor
specs.cpu_support_scope
specs.memory_slots
specs.max_memory_gb
specs.jedec_max_mt_s
specs.memory_oc_max_mt_s
specs.memory_profile_support
specs.ecc_support
specs.vrm_design
specs.power_stage_rating_a
specs.eps_connectors
specs.primary_pcie_generation
specs.primary_pcie_lanes
specs.pcie_x16_physical_slots
specs.m2_slots
specs.pcie5_m2_slots
specs.sata_ports
specs.lane_sharing_severity
specs.lan_speed_gbps
specs.lan_controller
specs.wifi_generation
specs.bluetooth_version
specs.audio_codec
specs.rear_usb_total_count
specs.rear_usb_type_a_count
specs.rear_usb_type_c_count
specs.rear_usb_fastest_gbps
specs.rear_usb4_type_c_count
specs.rear_usb_official_summary
specs.front_usb_c_header_count
specs.front_usb_c_max_speed_gbps
specs.bios_flashback
specs.clear_cmos_button
specs.dual_bios
specs.debug_features
specs.fan_headers_total
specs.pump_capable_headers</x:v>
      </x:c>
      <x:c r="H417" t="str">
        <x:v>Codex</x:v>
      </x:c>
      <x:c r="I417" t="str">
        <x:v>CPU・メモリ・拡張・ネットワーク・背面I/Oのメーカー公称仕様を確認。国内保証と独立実測は含まない。</x:v>
      </x:c>
    </x:row>
    <x:row r="418" ht="58" customHeight="1">
      <x:c r="A418" t="str">
        <x:v>motherboard-asus-tuf-gaming-b650-plus-wifi-official-layout</x:v>
      </x:c>
      <x:c r="B418" t="str">
        <x:v>motherboard-asus-tuf-gaming-b650-plus-wifi</x:v>
      </x:c>
      <x:c r="C418" t="str">
        <x:v>manufacturer</x:v>
      </x:c>
      <x:c r="D418" t="str">
        <x:v>ASUS TUF GAMING B650-PLUS WIFI 公式製品ページ／マニュアル</x:v>
      </x:c>
      <x:c r="E418" t="str">
        <x:v>https://www.asus.com/us/motherboards-components/motherboards/tuf-gaming/tuf-gaming-b650-plus-wifi/</x:v>
      </x:c>
      <x:c r="F418" s="137" t="n">
        <x:v>46219</x:v>
      </x:c>
      <x:c r="G418" t="str">
        <x:v>specs.slots
specs.usb_ports</x:v>
      </x:c>
      <x:c r="H418" t="str">
        <x:v>Codex</x:v>
      </x:c>
      <x:c r="I418" t="str">
        <x:v>物理スロット、M.2接続、レーン共有、USB端子構成を構造化するために参照。</x:v>
      </x:c>
    </x:row>
    <x:row r="419" ht="58" customHeight="1">
      <x:c r="A419" t="str">
        <x:v>motherboard-msi-mag-b650-tomahawk-wifi-official-specs</x:v>
      </x:c>
      <x:c r="B419" t="str">
        <x:v>motherboard-msi-mag-b650-tomahawk-wifi</x:v>
      </x:c>
      <x:c r="C419" t="str">
        <x:v>manufacturer</x:v>
      </x:c>
      <x:c r="D419" t="str">
        <x:v>MSI MAG B650 TOMAHAWK WIFI 公式仕様</x:v>
      </x:c>
      <x:c r="E419" t="str">
        <x:v>https://www.msi.com/Motherboard/MAG-B650-TOMAHAWK-WIFI/Specification</x:v>
      </x:c>
      <x:c r="F419" s="137" t="n">
        <x:v>46219</x:v>
      </x:c>
      <x:c r="G419" t="str">
        <x:v>brand
model
display_name
identifiers.part_numbers
specs.release_date_precision
specs.socket
specs.chipset
specs.memory_type
specs.form_factor
specs.cpu_support_scope
specs.memory_slots
specs.max_memory_gb
specs.jedec_max_mt_s
specs.memory_oc_max_mt_s
specs.memory_profile_support
specs.ecc_support
specs.vrm_design
specs.power_stage_rating_a
specs.eps_connectors
specs.primary_pcie_generation
specs.primary_pcie_lanes
specs.pcie_x16_physical_slots
specs.m2_slots
specs.pcie5_m2_slots
specs.sata_ports
specs.lane_sharing_severity
specs.lan_speed_gbps
specs.lan_controller
specs.wifi_generation
specs.bluetooth_version
specs.audio_codec
specs.rear_usb_total_count
specs.rear_usb_type_a_count
specs.rear_usb_type_c_count
specs.rear_usb_fastest_gbps
specs.rear_usb4_type_c_count
specs.rear_usb_official_summary
specs.front_usb_c_header_count
specs.front_usb_c_max_speed_gbps
specs.bios_flashback
specs.clear_cmos_button
specs.dual_bios
specs.debug_features
specs.fan_headers_total
specs.pump_capable_headers
specs.pcb_layers</x:v>
      </x:c>
      <x:c r="H419" t="str">
        <x:v>Codex</x:v>
      </x:c>
      <x:c r="I419" t="str">
        <x:v>CPU・メモリ・拡張・ネットワーク・背面I/Oのメーカー公称仕様を確認。国内保証と独立実測は含まない。</x:v>
      </x:c>
    </x:row>
    <x:row r="420" ht="58" customHeight="1">
      <x:c r="A420" t="str">
        <x:v>motherboard-msi-mag-b650-tomahawk-wifi-official-layout</x:v>
      </x:c>
      <x:c r="B420" t="str">
        <x:v>motherboard-msi-mag-b650-tomahawk-wifi</x:v>
      </x:c>
      <x:c r="C420" t="str">
        <x:v>manufacturer</x:v>
      </x:c>
      <x:c r="D420" t="str">
        <x:v>MSI MAG B650 TOMAHAWK WIFI 公式製品ページ／マニュアル</x:v>
      </x:c>
      <x:c r="E420" t="str">
        <x:v>https://us.msi.com/Motherboard/MAG-B650-TOMAHAWK-WIFI</x:v>
      </x:c>
      <x:c r="F420" s="137" t="n">
        <x:v>46219</x:v>
      </x:c>
      <x:c r="G420" t="str">
        <x:v>specs.slots
specs.usb_ports</x:v>
      </x:c>
      <x:c r="H420" t="str">
        <x:v>Codex</x:v>
      </x:c>
      <x:c r="I420" t="str">
        <x:v>物理スロット、M.2接続、レーン共有、USB端子構成を構造化するために参照。</x:v>
      </x:c>
    </x:row>
    <x:row r="421" ht="58" customHeight="1">
      <x:c r="A421" t="str">
        <x:v>motherboard-gigabyte-b650-aorus-elite-ax-v2-rev-10-official-specs</x:v>
      </x:c>
      <x:c r="B421" t="str">
        <x:v>motherboard-gigabyte-b650-aorus-elite-ax-v2-rev-10</x:v>
      </x:c>
      <x:c r="C421" t="str">
        <x:v>manufacturer</x:v>
      </x:c>
      <x:c r="D421" t="str">
        <x:v>GIGABYTE B650 AORUS ELITE AX V2 公式仕様（rev. 1.0）</x:v>
      </x:c>
      <x:c r="E421" t="str">
        <x:v>https://www.gigabyte.com/pr/Motherboard/B650-AORUS-ELITE-AX-V2/sp</x:v>
      </x:c>
      <x:c r="F421" s="137" t="n">
        <x:v>46219</x:v>
      </x:c>
      <x:c r="G421" t="str">
        <x:v>brand
model
display_name
identifiers.part_numbers
specs.release_date_precision
specs.board_revision
specs.socket
specs.chipset
specs.memory_type
specs.form_factor
specs.cpu_support_scope
specs.memory_slots
specs.max_memory_gb
specs.jedec_max_mt_s
specs.memory_oc_max_mt_s
specs.memory_profile_support
specs.ecc_support
specs.vrm_design
specs.power_stage_rating_a
specs.eps_connectors
specs.primary_pcie_generation
specs.primary_pcie_lanes
specs.pcie_x16_physical_slots
specs.m2_slots
specs.pcie5_m2_slots
specs.sata_ports
specs.lane_sharing_severity
specs.lan_speed_gbps
specs.lan_controller
specs.wifi_generation
specs.wifi_controller
specs.bluetooth_version
specs.audio_codec
specs.rear_usb_total_count
specs.rear_usb_type_a_count
specs.rear_usb_type_c_count
specs.rear_usb_fastest_gbps
specs.rear_usb4_type_c_count
specs.rear_usb_official_summary
specs.front_usb_c_header_count
specs.front_usb_c_max_speed_gbps
specs.bios_flashback
specs.clear_cmos_button
specs.dual_bios
specs.fan_headers_total
specs.pump_capable_headers
specs.pcb_layers</x:v>
      </x:c>
      <x:c r="H421" t="str">
        <x:v>Codex</x:v>
      </x:c>
      <x:c r="I421" t="str">
        <x:v>CPU・メモリ・拡張・ネットワーク・背面I/Oのメーカー公称仕様を確認。国内保証と独立実測は含まない。</x:v>
      </x:c>
    </x:row>
    <x:row r="422" ht="58" customHeight="1">
      <x:c r="A422" t="str">
        <x:v>motherboard-gigabyte-b650-aorus-elite-ax-v2-rev-10-official-layout</x:v>
      </x:c>
      <x:c r="B422" t="str">
        <x:v>motherboard-gigabyte-b650-aorus-elite-ax-v2-rev-10</x:v>
      </x:c>
      <x:c r="C422" t="str">
        <x:v>manufacturer</x:v>
      </x:c>
      <x:c r="D422" t="str">
        <x:v>GIGABYTE B650 AORUS ELITE AX V2 rev. 1.0 公式製品ページ／マニュアル</x:v>
      </x:c>
      <x:c r="E422" t="str">
        <x:v>https://www.gigabyte.com/us/Motherboard/B650-AORUS-ELITE-AX-V2</x:v>
      </x:c>
      <x:c r="F422" s="137" t="n">
        <x:v>46219</x:v>
      </x:c>
      <x:c r="G422" t="str">
        <x:v>specs.slots
specs.usb_ports</x:v>
      </x:c>
      <x:c r="H422" t="str">
        <x:v>Codex</x:v>
      </x:c>
      <x:c r="I422" t="str">
        <x:v>物理スロット、M.2接続、レーン共有、USB端子構成を構造化するために参照。</x:v>
      </x:c>
    </x:row>
    <x:row r="423" ht="58" customHeight="1">
      <x:c r="A423" t="str">
        <x:v>motherboard-gigabyte-b650-aorus-elite-ax-v2-rev-11-official-specs</x:v>
      </x:c>
      <x:c r="B423" t="str">
        <x:v>motherboard-gigabyte-b650-aorus-elite-ax-v2-rev-11</x:v>
      </x:c>
      <x:c r="C423" t="str">
        <x:v>manufacturer</x:v>
      </x:c>
      <x:c r="D423" t="str">
        <x:v>GIGABYTE B650 AORUS ELITE AX V2 公式仕様（rev. 1.1）</x:v>
      </x:c>
      <x:c r="E423" t="str">
        <x:v>https://www.gigabyte.com/pr/Motherboard/B650-AORUS-ELITE-AX-V2/sp</x:v>
      </x:c>
      <x:c r="F423" s="137" t="n">
        <x:v>46219</x:v>
      </x:c>
      <x:c r="G423" t="str">
        <x:v>brand
model
display_name
identifiers.part_numbers
specs.release_date_precision
specs.board_revision
specs.socket
specs.chipset
specs.memory_type
specs.form_factor
specs.cpu_support_scope
specs.memory_slots
specs.max_memory_gb
specs.jedec_max_mt_s
specs.memory_oc_max_mt_s
specs.memory_profile_support
specs.ecc_support
specs.vrm_design
specs.power_stage_rating_a
specs.eps_connectors
specs.primary_pcie_generation
specs.primary_pcie_lanes
specs.pcie_x16_physical_slots
specs.m2_slots
specs.pcie5_m2_slots
specs.sata_ports
specs.lane_sharing_severity
specs.lan_speed_gbps
specs.lan_controller
specs.wifi_generation
specs.wifi_controller
specs.bluetooth_version
specs.audio_codec
specs.rear_usb_total_count
specs.rear_usb_type_a_count
specs.rear_usb_type_c_count
specs.rear_usb_fastest_gbps
specs.rear_usb4_type_c_count
specs.rear_usb_official_summary
specs.front_usb_c_header_count
specs.front_usb_c_max_speed_gbps
specs.bios_flashback
specs.clear_cmos_button
specs.dual_bios
specs.fan_headers_total
specs.pump_capable_headers
specs.pcb_layers</x:v>
      </x:c>
      <x:c r="H423" t="str">
        <x:v>Codex</x:v>
      </x:c>
      <x:c r="I423" t="str">
        <x:v>CPU・メモリ・拡張・ネットワーク・背面I/Oのメーカー公称仕様を確認。国内保証と独立実測は含まない。</x:v>
      </x:c>
    </x:row>
    <x:row r="424" ht="58" customHeight="1">
      <x:c r="A424" t="str">
        <x:v>motherboard-gigabyte-b650-aorus-elite-ax-v2-rev-11-official-layout</x:v>
      </x:c>
      <x:c r="B424" t="str">
        <x:v>motherboard-gigabyte-b650-aorus-elite-ax-v2-rev-11</x:v>
      </x:c>
      <x:c r="C424" t="str">
        <x:v>manufacturer</x:v>
      </x:c>
      <x:c r="D424" t="str">
        <x:v>GIGABYTE B650 AORUS ELITE AX V2 rev. 1.1 公式製品ページ／マニュアル</x:v>
      </x:c>
      <x:c r="E424" t="str">
        <x:v>https://www.gigabyte.com/us/Motherboard/B650-AORUS-ELITE-AX-V2</x:v>
      </x:c>
      <x:c r="F424" s="137" t="n">
        <x:v>46219</x:v>
      </x:c>
      <x:c r="G424" t="str">
        <x:v>specs.slots
specs.usb_ports</x:v>
      </x:c>
      <x:c r="H424" t="str">
        <x:v>Codex</x:v>
      </x:c>
      <x:c r="I424" t="str">
        <x:v>物理スロット、M.2接続、レーン共有、USB端子構成を構造化するために参照。</x:v>
      </x:c>
    </x:row>
    <x:row r="425" ht="58" customHeight="1">
      <x:c r="A425" t="str">
        <x:v>motherboard-asrock-b650m-pro-rs-wifi-official-specs</x:v>
      </x:c>
      <x:c r="B425" t="str">
        <x:v>motherboard-asrock-b650m-pro-rs-wifi</x:v>
      </x:c>
      <x:c r="C425" t="str">
        <x:v>manufacturer</x:v>
      </x:c>
      <x:c r="D425" t="str">
        <x:v>ASRock B650M Pro RS WiFi 公式仕様</x:v>
      </x:c>
      <x:c r="E425" t="str">
        <x:v>https://www.asrock.com/mb/AMD/B650M%20Pro%20RS%20WiFi/</x:v>
      </x:c>
      <x:c r="F425" s="137" t="n">
        <x:v>46219</x:v>
      </x:c>
      <x:c r="G425" t="str">
        <x:v>brand
model
display_name
identifiers.part_numbers
specs.release_date_precision
specs.socket
specs.chipset
specs.memory_type
specs.form_factor
specs.cpu_support_scope
specs.memory_slots
specs.max_memory_gb
specs.memory_oc_max_mt_s
specs.memory_profile_support
specs.ecc_support
specs.vrm_design
specs.power_stage_rating_a
specs.eps_connectors
specs.primary_pcie_generation
specs.primary_pcie_lanes
specs.pcie_x16_physical_slots
specs.m2_slots
specs.pcie5_m2_slots
specs.sata_ports
specs.lane_sharing_severity
specs.lan_speed_gbps
specs.lan_controller
specs.wifi_generation
specs.wifi_controller
specs.bluetooth_version
specs.audio_codec
specs.rear_usb_total_count
specs.rear_usb_type_a_count
specs.rear_usb_type_c_count
specs.rear_usb_fastest_gbps
specs.rear_usb4_type_c_count
specs.rear_usb_official_summary
specs.front_usb_c_header_count
specs.front_usb_c_max_speed_gbps
specs.bios_flashback
specs.clear_cmos_button
specs.dual_bios
specs.debug_features
specs.fan_headers_total
specs.pump_capable_headers
specs.pcb_layers</x:v>
      </x:c>
      <x:c r="H425" t="str">
        <x:v>Codex</x:v>
      </x:c>
      <x:c r="I425" t="str">
        <x:v>CPU・メモリ・拡張・ネットワーク・背面I/Oのメーカー公称仕様を確認。国内保証と独立実測は含まない。</x:v>
      </x:c>
    </x:row>
    <x:row r="426" ht="58" customHeight="1">
      <x:c r="A426" t="str">
        <x:v>motherboard-asrock-b650m-pro-rs-wifi-official-layout</x:v>
      </x:c>
      <x:c r="B426" t="str">
        <x:v>motherboard-asrock-b650m-pro-rs-wifi</x:v>
      </x:c>
      <x:c r="C426" t="str">
        <x:v>manufacturer</x:v>
      </x:c>
      <x:c r="D426" t="str">
        <x:v>ASRock B650M Pro RS WiFi 公式製品ページ／マニュアル</x:v>
      </x:c>
      <x:c r="E426" t="str">
        <x:v>https://download.asrock.com/Manual/B650M%20Pro%20RS%20WiFi.pdf</x:v>
      </x:c>
      <x:c r="F426" s="137" t="n">
        <x:v>46219</x:v>
      </x:c>
      <x:c r="G426" t="str">
        <x:v>specs.slots
specs.usb_ports</x:v>
      </x:c>
      <x:c r="H426" t="str">
        <x:v>Codex</x:v>
      </x:c>
      <x:c r="I426" t="str">
        <x:v>物理スロット、M.2接続、レーン共有、USB端子構成を構造化するために参照。</x:v>
      </x:c>
    </x:row>
    <x:row r="427" ht="58" customHeight="1">
      <x:c r="A427" t="str">
        <x:v>motherboard-asus-tuf-gaming-z790-plus-wifi-official-specs</x:v>
      </x:c>
      <x:c r="B427" t="str">
        <x:v>motherboard-asus-tuf-gaming-z790-plus-wifi</x:v>
      </x:c>
      <x:c r="C427" t="str">
        <x:v>manufacturer</x:v>
      </x:c>
      <x:c r="D427" t="str">
        <x:v>ASUS TUF GAMING Z790-PLUS WIFI 公式仕様</x:v>
      </x:c>
      <x:c r="E427" t="str">
        <x:v>https://www.asus.com/motherboards-components/motherboards/tuf-gaming/tuf-gaming-z790-plus-wifi/techspec/</x:v>
      </x:c>
      <x:c r="F427" s="137" t="n">
        <x:v>46219</x:v>
      </x:c>
      <x:c r="G427" t="str">
        <x:v>brand
model
display_name
identifiers.part_numbers
specs.release_date_precision
specs.socket
specs.chipset
specs.memory_type
specs.form_factor
specs.cpu_support_scope
specs.memory_slots
specs.max_memory_gb
specs.jedec_max_mt_s
specs.memory_oc_max_mt_s
specs.memory_profile_support
specs.ecc_support
specs.vrm_design
specs.power_stage_rating_a
specs.eps_connectors
specs.primary_pcie_generation
specs.primary_pcie_lanes
specs.pcie_x16_physical_slots
specs.m2_slots
specs.pcie5_m2_slots
specs.sata_ports
specs.lane_sharing_severity
specs.lan_speed_gbps
specs.lan_controller
specs.wifi_generation
specs.bluetooth_version
specs.audio_codec
specs.rear_usb_total_count
specs.rear_usb_type_a_count
specs.rear_usb_type_c_count
specs.rear_usb_fastest_gbps
specs.rear_usb4_type_c_count
specs.rear_usb_official_summary
specs.front_usb_c_header_count
specs.front_usb_c_max_speed_gbps
specs.bios_flashback
specs.clear_cmos_button
specs.dual_bios
specs.debug_features
specs.fan_headers_total
specs.pump_capable_headers</x:v>
      </x:c>
      <x:c r="H427" t="str">
        <x:v>Codex</x:v>
      </x:c>
      <x:c r="I427" t="str">
        <x:v>CPU・メモリ・拡張・ネットワーク・背面I/Oのメーカー公称仕様を確認。国内保証と独立実測は含まない。</x:v>
      </x:c>
    </x:row>
    <x:row r="428" ht="58" customHeight="1">
      <x:c r="A428" t="str">
        <x:v>motherboard-asus-tuf-gaming-z790-plus-wifi-official-layout</x:v>
      </x:c>
      <x:c r="B428" t="str">
        <x:v>motherboard-asus-tuf-gaming-z790-plus-wifi</x:v>
      </x:c>
      <x:c r="C428" t="str">
        <x:v>manufacturer</x:v>
      </x:c>
      <x:c r="D428" t="str">
        <x:v>ASUS TUF GAMING Z790-PLUS WIFI 公式製品ページ／マニュアル</x:v>
      </x:c>
      <x:c r="E428" t="str">
        <x:v>https://www.asus.com/motherboards-components/motherboards/tuf-gaming/tuf-gaming-z790-plus-wifi/</x:v>
      </x:c>
      <x:c r="F428" s="137" t="n">
        <x:v>46219</x:v>
      </x:c>
      <x:c r="G428" t="str">
        <x:v>specs.slots
specs.usb_ports</x:v>
      </x:c>
      <x:c r="H428" t="str">
        <x:v>Codex</x:v>
      </x:c>
      <x:c r="I428" t="str">
        <x:v>物理スロット、M.2接続、レーン共有、USB端子構成を構造化するために参照。</x:v>
      </x:c>
    </x:row>
    <x:row r="429" ht="58" customHeight="1">
      <x:c r="A429" t="str">
        <x:v>motherboard-msi-mag-z790-tomahawk-wifi-official-specs</x:v>
      </x:c>
      <x:c r="B429" t="str">
        <x:v>motherboard-msi-mag-z790-tomahawk-wifi</x:v>
      </x:c>
      <x:c r="C429" t="str">
        <x:v>manufacturer</x:v>
      </x:c>
      <x:c r="D429" t="str">
        <x:v>MSI MAG Z790 TOMAHAWK WIFI 公式仕様</x:v>
      </x:c>
      <x:c r="E429" t="str">
        <x:v>https://www.msi.com/Motherboard/MAG-Z790-TOMAHAWK-WIFI/Specification</x:v>
      </x:c>
      <x:c r="F429" s="137" t="n">
        <x:v>46219</x:v>
      </x:c>
      <x:c r="G429" t="str">
        <x:v>brand
model
display_name
identifiers.part_numbers
specs.release_date_precision
specs.socket
specs.chipset
specs.memory_type
specs.form_factor
specs.cpu_support_scope
specs.memory_slots
specs.max_memory_gb
specs.jedec_max_mt_s
specs.memory_oc_max_mt_s
specs.memory_profile_support
specs.ecc_support
specs.vrm_design
specs.power_stage_rating_a
specs.eps_connectors
specs.primary_pcie_generation
specs.primary_pcie_lanes
specs.pcie_x16_physical_slots
specs.m2_slots
specs.pcie5_m2_slots
specs.sata_ports
specs.lane_sharing_severity
specs.lan_speed_gbps
specs.lan_controller
specs.wifi_generation
specs.wifi_controller
specs.bluetooth_version
specs.audio_codec
specs.rear_usb_total_count
specs.rear_usb_type_a_count
specs.rear_usb_type_c_count
specs.rear_usb_fastest_gbps
specs.rear_usb4_type_c_count
specs.rear_usb_official_summary
specs.front_usb_c_header_count
specs.front_usb_c_max_speed_gbps
specs.bios_flashback
specs.clear_cmos_button
specs.dual_bios
specs.debug_features
specs.fan_headers_total
specs.pump_capable_headers
specs.pcb_layers</x:v>
      </x:c>
      <x:c r="H429" t="str">
        <x:v>Codex</x:v>
      </x:c>
      <x:c r="I429" t="str">
        <x:v>CPU・メモリ・拡張・ネットワーク・背面I/Oのメーカー公称仕様を確認。国内保証と独立実測は含まない。</x:v>
      </x:c>
    </x:row>
    <x:row r="430" ht="58" customHeight="1">
      <x:c r="A430" t="str">
        <x:v>motherboard-msi-mag-z790-tomahawk-wifi-official-layout</x:v>
      </x:c>
      <x:c r="B430" t="str">
        <x:v>motherboard-msi-mag-z790-tomahawk-wifi</x:v>
      </x:c>
      <x:c r="C430" t="str">
        <x:v>manufacturer</x:v>
      </x:c>
      <x:c r="D430" t="str">
        <x:v>MSI MAG Z790 TOMAHAWK WIFI 公式製品ページ／マニュアル</x:v>
      </x:c>
      <x:c r="E430" t="str">
        <x:v>https://www.msi.com/Motherboard/MAG-Z790-TOMAHAWK-WIFI</x:v>
      </x:c>
      <x:c r="F430" s="137" t="n">
        <x:v>46219</x:v>
      </x:c>
      <x:c r="G430" t="str">
        <x:v>specs.slots
specs.usb_ports</x:v>
      </x:c>
      <x:c r="H430" t="str">
        <x:v>Codex</x:v>
      </x:c>
      <x:c r="I430" t="str">
        <x:v>物理スロット、M.2接続、レーン共有、USB端子構成を構造化するために参照。</x:v>
      </x:c>
    </x:row>
    <x:row r="431" ht="58" customHeight="1">
      <x:c r="A431" t="str">
        <x:v>motherboard-gigabyte-z890-aorus-elite-wifi7-rev-10-official-specs</x:v>
      </x:c>
      <x:c r="B431" t="str">
        <x:v>motherboard-gigabyte-z890-aorus-elite-wifi7-rev-10</x:v>
      </x:c>
      <x:c r="C431" t="str">
        <x:v>manufacturer</x:v>
      </x:c>
      <x:c r="D431" t="str">
        <x:v>GIGABYTE Z890 AORUS ELITE WIFI7 公式仕様（rev. 1.0）</x:v>
      </x:c>
      <x:c r="E431" t="str">
        <x:v>https://www.gigabyte.com/Motherboard/Z890-AORUS-ELITE-WIFI7/sp</x:v>
      </x:c>
      <x:c r="F431" s="137" t="n">
        <x:v>46219</x:v>
      </x:c>
      <x:c r="G431" t="str">
        <x:v>brand
model
display_name
identifiers.part_numbers
specs.release_date_precision
specs.board_revision
specs.socket
specs.chipset
specs.memory_type
specs.form_factor
specs.cpu_support_scope
specs.memory_slots
specs.max_memory_gb
specs.jedec_max_mt_s
specs.memory_oc_max_mt_s
specs.memory_profile_support
specs.ecc_support
specs.vrm_design
specs.power_stage_rating_a
specs.eps_connectors
specs.primary_pcie_generation
specs.primary_pcie_lanes
specs.pcie_x16_physical_slots
specs.m2_slots
specs.pcie5_m2_slots
specs.sata_ports
specs.lane_sharing_severity
specs.lan_speed_gbps
specs.lan_controller
specs.wifi_generation
specs.wifi_controller
specs.bluetooth_version
specs.audio_codec
specs.rear_usb_total_count
specs.rear_usb_type_a_count
specs.rear_usb_type_c_count
specs.rear_usb_fastest_gbps
specs.rear_usb4_type_c_count
specs.rear_usb_official_summary
specs.front_usb_c_header_count
specs.front_usb_c_max_speed_gbps
specs.bios_flashback
specs.clear_cmos_button
specs.dual_bios
specs.debug_features
specs.fan_headers_total
specs.pump_capable_headers</x:v>
      </x:c>
      <x:c r="H431" t="str">
        <x:v>Codex</x:v>
      </x:c>
      <x:c r="I431" t="str">
        <x:v>CPU・メモリ・拡張・ネットワーク・背面I/Oのメーカー公称仕様を確認。国内保証と独立実測は含まない。</x:v>
      </x:c>
    </x:row>
    <x:row r="432" ht="58" customHeight="1">
      <x:c r="A432" t="str">
        <x:v>motherboard-gigabyte-z890-aorus-elite-wifi7-rev-10-official-layout</x:v>
      </x:c>
      <x:c r="B432" t="str">
        <x:v>motherboard-gigabyte-z890-aorus-elite-wifi7-rev-10</x:v>
      </x:c>
      <x:c r="C432" t="str">
        <x:v>manufacturer</x:v>
      </x:c>
      <x:c r="D432" t="str">
        <x:v>GIGABYTE Z890 AORUS ELITE WIFI7 rev. 1.0 公式製品ページ／マニュアル</x:v>
      </x:c>
      <x:c r="E432" t="str">
        <x:v>https://www.gigabyte.com/us/Motherboard/Z890-AORUS-ELITE-WIFI7</x:v>
      </x:c>
      <x:c r="F432" s="137" t="n">
        <x:v>46219</x:v>
      </x:c>
      <x:c r="G432" t="str">
        <x:v>specs.slots
specs.usb_ports</x:v>
      </x:c>
      <x:c r="H432" t="str">
        <x:v>Codex</x:v>
      </x:c>
      <x:c r="I432" t="str">
        <x:v>物理スロット、M.2接続、レーン共有、USB端子構成を構造化するために参照。</x:v>
      </x:c>
    </x:row>
    <x:row r="433" ht="58" customHeight="1">
      <x:c r="A433" t="str">
        <x:v>motherboard-gigabyte-z890-aorus-elite-wifi7-rev-11-official-specs</x:v>
      </x:c>
      <x:c r="B433" t="str">
        <x:v>motherboard-gigabyte-z890-aorus-elite-wifi7-rev-11</x:v>
      </x:c>
      <x:c r="C433" t="str">
        <x:v>manufacturer</x:v>
      </x:c>
      <x:c r="D433" t="str">
        <x:v>GIGABYTE Z890 AORUS ELITE WIFI7 公式仕様（rev. 1.1）</x:v>
      </x:c>
      <x:c r="E433" t="str">
        <x:v>https://www.gigabyte.com/Motherboard/Z890-AORUS-ELITE-WIFI7/sp</x:v>
      </x:c>
      <x:c r="F433" s="137" t="n">
        <x:v>46219</x:v>
      </x:c>
      <x:c r="G433" t="str">
        <x:v>brand
model
display_name
identifiers.part_numbers
specs.release_date_precision
specs.board_revision
specs.socket
specs.chipset
specs.memory_type
specs.form_factor
specs.cpu_support_scope
specs.memory_slots
specs.max_memory_gb
specs.jedec_max_mt_s
specs.memory_oc_max_mt_s
specs.memory_profile_support
specs.ecc_support
specs.vrm_design
specs.power_stage_rating_a
specs.eps_connectors
specs.primary_pcie_generation
specs.primary_pcie_lanes
specs.pcie_x16_physical_slots
specs.m2_slots
specs.pcie5_m2_slots
specs.sata_ports
specs.lane_sharing_severity
specs.lan_speed_gbps
specs.lan_controller
specs.wifi_generation
specs.wifi_controller
specs.bluetooth_version
specs.audio_codec
specs.rear_usb_total_count
specs.rear_usb_type_a_count
specs.rear_usb_type_c_count
specs.rear_usb_fastest_gbps
specs.rear_usb4_type_c_count
specs.rear_usb_official_summary
specs.front_usb_c_header_count
specs.front_usb_c_max_speed_gbps
specs.bios_flashback
specs.clear_cmos_button
specs.dual_bios
specs.debug_features
specs.fan_headers_total
specs.pump_capable_headers</x:v>
      </x:c>
      <x:c r="H433" t="str">
        <x:v>Codex</x:v>
      </x:c>
      <x:c r="I433" t="str">
        <x:v>CPU・メモリ・拡張・ネットワーク・背面I/Oのメーカー公称仕様を確認。国内保証と独立実測は含まない。</x:v>
      </x:c>
    </x:row>
    <x:row r="434" ht="58" customHeight="1">
      <x:c r="A434" t="str">
        <x:v>motherboard-gigabyte-z890-aorus-elite-wifi7-rev-11-official-layout</x:v>
      </x:c>
      <x:c r="B434" t="str">
        <x:v>motherboard-gigabyte-z890-aorus-elite-wifi7-rev-11</x:v>
      </x:c>
      <x:c r="C434" t="str">
        <x:v>manufacturer</x:v>
      </x:c>
      <x:c r="D434" t="str">
        <x:v>GIGABYTE Z890 AORUS ELITE WIFI7 rev. 1.1 公式製品ページ／マニュアル</x:v>
      </x:c>
      <x:c r="E434" t="str">
        <x:v>https://www.gigabyte.com/us/Motherboard/Z890-AORUS-ELITE-WIFI7</x:v>
      </x:c>
      <x:c r="F434" s="137" t="n">
        <x:v>46219</x:v>
      </x:c>
      <x:c r="G434" t="str">
        <x:v>specs.slots
specs.usb_ports</x:v>
      </x:c>
      <x:c r="H434" t="str">
        <x:v>Codex</x:v>
      </x:c>
      <x:c r="I434" t="str">
        <x:v>物理スロット、M.2接続、レーン共有、USB端子構成を構造化するために参照。</x:v>
      </x:c>
    </x:row>
    <x:row r="435" ht="58" customHeight="1">
      <x:c r="A435" t="str">
        <x:v>motherboard-asrock-z890-steel-legend-wifi-official-specs</x:v>
      </x:c>
      <x:c r="B435" t="str">
        <x:v>motherboard-asrock-z890-steel-legend-wifi</x:v>
      </x:c>
      <x:c r="C435" t="str">
        <x:v>manufacturer</x:v>
      </x:c>
      <x:c r="D435" t="str">
        <x:v>ASRock Z890 Steel Legend WiFi 公式仕様</x:v>
      </x:c>
      <x:c r="E435" t="str">
        <x:v>https://www.asrock.com/mb/Intel/Z890%20Steel%20Legend%20WiFi/</x:v>
      </x:c>
      <x:c r="F435" s="137" t="n">
        <x:v>46219</x:v>
      </x:c>
      <x:c r="G435" t="str">
        <x:v>brand
model
display_name
identifiers.part_numbers
specs.release_date_precision
specs.socket
specs.chipset
specs.memory_type
specs.form_factor
specs.cpu_support_scope
specs.memory_slots
specs.max_memory_gb
specs.jedec_max_mt_s
specs.memory_oc_max_mt_s
specs.memory_profile_support
specs.ecc_support
specs.vrm_design
specs.power_stage_rating_a
specs.eps_connectors
specs.primary_pcie_generation
specs.primary_pcie_lanes
specs.pcie_x16_physical_slots
specs.m2_slots
specs.pcie5_m2_slots
specs.sata_ports
specs.lane_sharing_severity
specs.lan_speed_gbps
specs.lan_controller
specs.wifi_generation
specs.wifi_controller
specs.bluetooth_version
specs.audio_codec
specs.rear_usb_total_count
specs.rear_usb_type_a_count
specs.rear_usb_type_c_count
specs.rear_usb_fastest_gbps
specs.rear_usb4_type_c_count
specs.rear_usb_official_summary
specs.front_usb_c_header_count
specs.front_usb_c_max_speed_gbps
specs.bios_flashback
specs.clear_cmos_button
specs.dual_bios
specs.debug_features
specs.fan_headers_total
specs.pump_capable_headers</x:v>
      </x:c>
      <x:c r="H435" t="str">
        <x:v>Codex</x:v>
      </x:c>
      <x:c r="I435" t="str">
        <x:v>CPU・メモリ・拡張・ネットワーク・背面I/Oのメーカー公称仕様を確認。国内保証と独立実測は含まない。</x:v>
      </x:c>
    </x:row>
    <x:row r="436" ht="58" customHeight="1">
      <x:c r="A436" t="str">
        <x:v>motherboard-asrock-z890-steel-legend-wifi-official-layout</x:v>
      </x:c>
      <x:c r="B436" t="str">
        <x:v>motherboard-asrock-z890-steel-legend-wifi</x:v>
      </x:c>
      <x:c r="C436" t="str">
        <x:v>manufacturer</x:v>
      </x:c>
      <x:c r="D436" t="str">
        <x:v>ASRock Z890 Steel Legend WiFi 公式製品ページ／マニュアル</x:v>
      </x:c>
      <x:c r="E436" t="str">
        <x:v>https://download.asrock.com/Manual/Z890%20Steel%20Legend%20WiFi.pdf</x:v>
      </x:c>
      <x:c r="F436" s="137" t="n">
        <x:v>46219</x:v>
      </x:c>
      <x:c r="G436" t="str">
        <x:v>specs.slots
specs.usb_ports</x:v>
      </x:c>
      <x:c r="H436" t="str">
        <x:v>Codex</x:v>
      </x:c>
      <x:c r="I436" t="str">
        <x:v>物理スロット、M.2接続、レーン共有、USB端子構成を構造化するために参照。</x:v>
      </x:c>
    </x:row>
    <x:row r="437" ht="58" customHeight="1">
      <x:c r="A437"/>
      <x:c r="B437"/>
      <x:c r="C437"/>
      <x:c r="D437"/>
      <x:c r="E437"/>
      <x:c r="F437" s="137"/>
      <x:c r="G437"/>
      <x:c r="H437"/>
      <x:c r="I437"/>
    </x:row>
    <x:row r="438" ht="58" customHeight="1">
      <x:c r="A438"/>
      <x:c r="B438"/>
      <x:c r="C438"/>
      <x:c r="D438"/>
      <x:c r="E438"/>
      <x:c r="F438" s="137"/>
      <x:c r="G438"/>
      <x:c r="H438"/>
      <x:c r="I438"/>
    </x:row>
    <x:row r="439" ht="58" customHeight="1">
      <x:c r="A439"/>
      <x:c r="B439"/>
      <x:c r="C439"/>
      <x:c r="D439"/>
      <x:c r="E439"/>
      <x:c r="F439" s="137"/>
      <x:c r="G439"/>
      <x:c r="H439"/>
      <x:c r="I439"/>
    </x:row>
    <x:row r="440" ht="58" customHeight="1">
      <x:c r="A440"/>
      <x:c r="B440"/>
      <x:c r="C440"/>
      <x:c r="D440"/>
      <x:c r="E440"/>
      <x:c r="F440" s="137"/>
      <x:c r="G440"/>
      <x:c r="H440"/>
      <x:c r="I440"/>
    </x:row>
    <x:row r="441" ht="58" customHeight="1">
      <x:c r="A441"/>
      <x:c r="B441"/>
      <x:c r="C441"/>
      <x:c r="D441"/>
      <x:c r="E441"/>
      <x:c r="F441" s="137"/>
      <x:c r="G441"/>
      <x:c r="H441"/>
      <x:c r="I441"/>
    </x:row>
    <x:row r="442" ht="58" customHeight="1">
      <x:c r="A442"/>
      <x:c r="B442"/>
      <x:c r="C442"/>
      <x:c r="D442"/>
      <x:c r="E442"/>
      <x:c r="F442" s="137"/>
      <x:c r="G442"/>
      <x:c r="H442"/>
      <x:c r="I442"/>
    </x:row>
    <x:row r="443" ht="58" customHeight="1">
      <x:c r="A443"/>
      <x:c r="B443"/>
      <x:c r="C443"/>
      <x:c r="D443"/>
      <x:c r="E443"/>
      <x:c r="F443" s="137"/>
      <x:c r="G443"/>
      <x:c r="H443"/>
      <x:c r="I443"/>
    </x:row>
    <x:row r="444" ht="58" customHeight="1">
      <x:c r="A444"/>
      <x:c r="B444"/>
      <x:c r="C444"/>
      <x:c r="D444"/>
      <x:c r="E444"/>
      <x:c r="F444" s="137"/>
      <x:c r="G444"/>
      <x:c r="H444"/>
      <x:c r="I444"/>
    </x:row>
    <x:row r="445" ht="58" customHeight="1">
      <x:c r="A445"/>
      <x:c r="B445"/>
      <x:c r="C445"/>
      <x:c r="D445"/>
      <x:c r="E445"/>
      <x:c r="F445" s="137"/>
      <x:c r="G445"/>
      <x:c r="H445"/>
      <x:c r="I445"/>
    </x:row>
    <x:row r="446" ht="58" customHeight="1">
      <x:c r="A446"/>
      <x:c r="B446"/>
      <x:c r="C446"/>
      <x:c r="D446"/>
      <x:c r="E446"/>
      <x:c r="F446" s="137"/>
      <x:c r="G446"/>
      <x:c r="H446"/>
      <x:c r="I446"/>
    </x:row>
    <x:row r="447" ht="58" customHeight="1">
      <x:c r="A447"/>
      <x:c r="B447"/>
      <x:c r="C447"/>
      <x:c r="D447"/>
      <x:c r="E447"/>
      <x:c r="F447" s="137"/>
      <x:c r="G447"/>
      <x:c r="H447"/>
      <x:c r="I447"/>
    </x:row>
    <x:row r="448" ht="58" customHeight="1">
      <x:c r="A448"/>
      <x:c r="B448"/>
      <x:c r="C448"/>
      <x:c r="D448"/>
      <x:c r="E448"/>
      <x:c r="F448" s="137"/>
      <x:c r="G448"/>
      <x:c r="H448"/>
      <x:c r="I448"/>
    </x:row>
    <x:row r="449" ht="58" customHeight="1">
      <x:c r="A449"/>
      <x:c r="B449"/>
      <x:c r="C449"/>
      <x:c r="D449"/>
      <x:c r="E449"/>
      <x:c r="F449" s="137"/>
      <x:c r="G449"/>
      <x:c r="H449"/>
      <x:c r="I449"/>
    </x:row>
    <x:row r="450" ht="58" customHeight="1">
      <x:c r="A450"/>
      <x:c r="B450"/>
      <x:c r="C450"/>
      <x:c r="D450"/>
      <x:c r="E450"/>
      <x:c r="F450" s="137"/>
      <x:c r="G450"/>
      <x:c r="H450"/>
      <x:c r="I450"/>
    </x:row>
    <x:row r="451" ht="58" customHeight="1">
      <x:c r="A451"/>
      <x:c r="B451"/>
      <x:c r="C451"/>
      <x:c r="D451"/>
      <x:c r="E451"/>
      <x:c r="F451" s="137"/>
      <x:c r="G451"/>
      <x:c r="H451"/>
      <x:c r="I451"/>
    </x:row>
    <x:row r="452" ht="58" customHeight="1">
      <x:c r="A452"/>
      <x:c r="B452"/>
      <x:c r="C452"/>
      <x:c r="D452"/>
      <x:c r="E452"/>
      <x:c r="F452" s="137"/>
      <x:c r="G452"/>
      <x:c r="H452"/>
      <x:c r="I452"/>
    </x:row>
    <x:row r="453" ht="58" customHeight="1">
      <x:c r="A453"/>
      <x:c r="B453"/>
      <x:c r="C453"/>
      <x:c r="D453"/>
      <x:c r="E453"/>
      <x:c r="F453" s="137"/>
      <x:c r="G453"/>
      <x:c r="H453"/>
      <x:c r="I453"/>
    </x:row>
    <x:row r="454" ht="58" customHeight="1">
      <x:c r="A454"/>
      <x:c r="B454"/>
      <x:c r="C454"/>
      <x:c r="D454"/>
      <x:c r="E454"/>
      <x:c r="F454" s="137"/>
      <x:c r="G454"/>
      <x:c r="H454"/>
      <x:c r="I454"/>
    </x:row>
    <x:row r="455" ht="58" customHeight="1">
      <x:c r="A455"/>
      <x:c r="B455"/>
      <x:c r="C455"/>
      <x:c r="D455"/>
      <x:c r="E455"/>
      <x:c r="F455" s="137"/>
      <x:c r="G455"/>
      <x:c r="H455"/>
      <x:c r="I455"/>
    </x:row>
    <x:row r="456" ht="58" customHeight="1">
      <x:c r="A456"/>
      <x:c r="B456"/>
      <x:c r="C456"/>
      <x:c r="D456"/>
      <x:c r="E456"/>
      <x:c r="F456" s="137"/>
      <x:c r="G456"/>
      <x:c r="H456"/>
      <x:c r="I456"/>
    </x:row>
  </x:sheetData>
  <x:mergeCells>
    <x:mergeCell ref="A1:I1"/>
    <x:mergeCell ref="A2:I2"/>
  </x:mergeCells>
  <x:dataValidations count="1">
    <x:dataValidation type="list" sqref="C5:C64">
      <x:formula1>'Lists'!$D$5:$D$9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f421c7cdae48ab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  <x:col min="6" max="6" width="28" hidden="0" customWidth="1"/>
    <x:col min="7" max="7" width="28" hidden="0" customWidth="1"/>
    <x:col min="8" max="8" width="18" hidden="0" customWidth="1"/>
    <x:col min="9" max="9" width="14" hidden="0" customWidth="1"/>
    <x:col min="10" max="10" width="14" hidden="0" customWidth="1"/>
    <x:col min="11" max="11" width="28" hidden="0" customWidth="1"/>
  </x:cols>
  <x:sheetData>
    <x:row r="1" ht="30" customHeight="1">
      <x:c r="A1" s="40" t="str">
        <x:v>リスク・既知の問題</x:v>
      </x:c>
      <x:c r="B1" s="40"/>
      <x:c r="C1" s="40"/>
      <x:c r="D1" s="40"/>
      <x:c r="E1" s="40"/>
      <x:c r="F1" s="40"/>
      <x:c r="G1" s="40"/>
      <x:c r="H1" s="40"/>
      <x:c r="I1" s="40"/>
      <x:c r="J1" s="40"/>
      <x:c r="K1" s="40"/>
    </x:row>
    <x:row r="2" ht="34" customHeight="1">
      <x:c r="A2" s="7" t="str">
        <x:v>問題を1件1行で記録します。resolved以外のrisk_flagが自動判定用risk_flagsへ反映されます。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8" customHeight="1">
      <x:c r="A4" s="43" t="str">
        <x:v>risk_id</x:v>
      </x:c>
      <x:c r="B4" s="43" t="str">
        <x:v>product_id</x:v>
      </x:c>
      <x:c r="C4" s="43" t="str">
        <x:v>risk_flag</x:v>
      </x:c>
      <x:c r="D4" s="43" t="str">
        <x:v>severity</x:v>
      </x:c>
      <x:c r="E4" s="43" t="str">
        <x:v>status</x:v>
      </x:c>
      <x:c r="F4" s="43" t="str">
        <x:v>summary</x:v>
      </x:c>
      <x:c r="G4" s="43" t="str">
        <x:v>workaround</x:v>
      </x:c>
      <x:c r="H4" s="43" t="str">
        <x:v>evidence_id</x:v>
      </x:c>
      <x:c r="I4" s="43" t="str">
        <x:v>first_checked_at</x:v>
      </x:c>
      <x:c r="J4" s="43" t="str">
        <x:v>last_checked_at</x:v>
      </x:c>
      <x:c r="K4" s="43" t="str">
        <x:v>notes</x:v>
      </x:c>
    </x:row>
    <x:row r="5" ht="58" customHeight="1">
      <x:c r="A5" s="14" t="str">
        <x:v>motherboard-asus-tuf-gaming-b650-plus-wifi-lane-sharing</x:v>
      </x:c>
      <x:c r="B5" s="14" t="str">
        <x:v>motherboard-asus-tuf-gaming-b650-plus-wifi</x:v>
      </x:c>
      <x:c r="C5" s="14" t="str">
        <x:v>lane_sharing</x:v>
      </x:c>
      <x:c r="D5" s="14" t="str">
        <x:v>medium</x:v>
      </x:c>
      <x:c r="E5" s="14" t="str">
        <x:v>open</x:v>
      </x:c>
      <x:c r="F5" s="14" t="str">
        <x:v>M2_3へSSDを装着するとPCIEX16_2が無効になる。</x:v>
      </x:c>
      <x:c r="G5" s="14" t="str">
        <x:v>拡張カードをPCIEX16_2で使う構成ではM2_3を空ける。</x:v>
      </x:c>
      <x:c r="H5" s="14" t="str">
        <x:v>motherboard-asus-tuf-gaming-b650-plus-wifi-official-layout</x:v>
      </x:c>
      <x:c r="I5" s="23" t="n">
        <x:v>46219</x:v>
      </x:c>
      <x:c r="J5" s="23" t="n">
        <x:v>46219</x:v>
      </x:c>
      <x:c r="K5" s="14"/>
    </x:row>
    <x:row r="6" ht="58" customHeight="1">
      <x:c r="A6" s="14" t="str">
        <x:v>motherboard-msi-mag-b650-tomahawk-wifi-lane-sharing</x:v>
      </x:c>
      <x:c r="B6" s="14" t="str">
        <x:v>motherboard-msi-mag-b650-tomahawk-wifi</x:v>
      </x:c>
      <x:c r="C6" s="14" t="str">
        <x:v>lane_sharing</x:v>
      </x:c>
      <x:c r="D6" s="14" t="str">
        <x:v>medium</x:v>
      </x:c>
      <x:c r="E6" s="14" t="str">
        <x:v>open</x:v>
      </x:c>
      <x:c r="F6" s="14" t="str">
        <x:v>M2_3とPCI_E2を同時使用すると双方がx2動作になる。</x:v>
      </x:c>
      <x:c r="G6" s="14" t="str">
        <x:v>M2_3またはPCI_E2のどちらかを空け、必要帯域を確保する。</x:v>
      </x:c>
      <x:c r="H6" s="14" t="str">
        <x:v>motherboard-msi-mag-b650-tomahawk-wifi-official-layout</x:v>
      </x:c>
      <x:c r="I6" s="23" t="n">
        <x:v>46219</x:v>
      </x:c>
      <x:c r="J6" s="23" t="n">
        <x:v>46219</x:v>
      </x:c>
      <x:c r="K6" s="14"/>
    </x:row>
    <x:row r="7" ht="58" customHeight="1">
      <x:c r="A7" s="14" t="str">
        <x:v>motherboard-msi-mag-b650-tomahawk-wifi-cpu-slot-availability</x:v>
      </x:c>
      <x:c r="B7" s="14" t="str">
        <x:v>motherboard-msi-mag-b650-tomahawk-wifi</x:v>
      </x:c>
      <x:c r="C7" s="14" t="str">
        <x:v>cpu_dependent_slots</x:v>
      </x:c>
      <x:c r="D7" s="14" t="str">
        <x:v>medium</x:v>
      </x:c>
      <x:c r="E7" s="14" t="str">
        <x:v>open</x:v>
      </x:c>
      <x:c r="F7" s="14" t="str">
        <x:v>Ryzen 8500/8300系ではM2_2が使用できない。</x:v>
      </x:c>
      <x:c r="G7" s="14" t="str">
        <x:v>対象CPU利用時はM2_1/M2_3へSSDを配置する。</x:v>
      </x:c>
      <x:c r="H7" s="14" t="str">
        <x:v>motherboard-msi-mag-b650-tomahawk-wifi-official-layout</x:v>
      </x:c>
      <x:c r="I7" s="23" t="n">
        <x:v>46219</x:v>
      </x:c>
      <x:c r="J7" s="23" t="n">
        <x:v>46219</x:v>
      </x:c>
      <x:c r="K7" s="14"/>
    </x:row>
    <x:row r="8" ht="58" customHeight="1">
      <x:c r="A8" s="14" t="str">
        <x:v>motherboard-gigabyte-b650-aorus-elite-ax-v2-rev-10-revision</x:v>
      </x:c>
      <x:c r="B8" s="14" t="str">
        <x:v>motherboard-gigabyte-b650-aorus-elite-ax-v2-rev-10</x:v>
      </x:c>
      <x:c r="C8" s="14" t="str">
        <x:v>revision_ambiguity</x:v>
      </x:c>
      <x:c r="D8" s="14" t="str">
        <x:v>medium</x:v>
      </x:c>
      <x:c r="E8" s="14" t="str">
        <x:v>open</x:v>
      </x:c>
      <x:c r="F8" s="14" t="str">
        <x:v>rev. 1.0とrev. 1.1で無線LANコントローラーが異なる。</x:v>
      </x:c>
      <x:c r="G8" s="14" t="str">
        <x:v>外箱または基板印字でrev. 1.0を確認する。</x:v>
      </x:c>
      <x:c r="H8" s="14" t="str">
        <x:v>motherboard-gigabyte-b650-aorus-elite-ax-v2-rev-10-official-layout</x:v>
      </x:c>
      <x:c r="I8" s="23" t="n">
        <x:v>46219</x:v>
      </x:c>
      <x:c r="J8" s="23" t="n">
        <x:v>46219</x:v>
      </x:c>
      <x:c r="K8" s="14"/>
    </x:row>
    <x:row r="9" ht="58" customHeight="1">
      <x:c r="A9" s="14" t="str">
        <x:v>motherboard-gigabyte-b650-aorus-elite-ax-v2-rev-11-revision</x:v>
      </x:c>
      <x:c r="B9" s="14" t="str">
        <x:v>motherboard-gigabyte-b650-aorus-elite-ax-v2-rev-11</x:v>
      </x:c>
      <x:c r="C9" s="14" t="str">
        <x:v>revision_ambiguity</x:v>
      </x:c>
      <x:c r="D9" s="14" t="str">
        <x:v>medium</x:v>
      </x:c>
      <x:c r="E9" s="14" t="str">
        <x:v>open</x:v>
      </x:c>
      <x:c r="F9" s="14" t="str">
        <x:v>rev. 1.0とrev. 1.1で無線LANコントローラーが異なる。</x:v>
      </x:c>
      <x:c r="G9" s="14" t="str">
        <x:v>外箱または基板印字でrev. 1.1を確認する。</x:v>
      </x:c>
      <x:c r="H9" s="14" t="str">
        <x:v>motherboard-gigabyte-b650-aorus-elite-ax-v2-rev-11-official-layout</x:v>
      </x:c>
      <x:c r="I9" s="23" t="n">
        <x:v>46219</x:v>
      </x:c>
      <x:c r="J9" s="23" t="n">
        <x:v>46219</x:v>
      </x:c>
      <x:c r="K9" s="14"/>
    </x:row>
    <x:row r="10" ht="58" customHeight="1">
      <x:c r="A10" s="14" t="str">
        <x:v>motherboard-asrock-b650m-pro-rs-wifi-cpu-slot-availability</x:v>
      </x:c>
      <x:c r="B10" s="14" t="str">
        <x:v>motherboard-asrock-b650m-pro-rs-wifi</x:v>
      </x:c>
      <x:c r="C10" s="14" t="str">
        <x:v>cpu_dependent_slots</x:v>
      </x:c>
      <x:c r="D10" s="14" t="str">
        <x:v>low</x:v>
      </x:c>
      <x:c r="E10" s="14" t="str">
        <x:v>open</x:v>
      </x:c>
      <x:c r="F10" s="14" t="str">
        <x:v>CPU構成により一部PCIe/M.2の速度または利用可否が変わる。</x:v>
      </x:c>
      <x:c r="G10" s="14" t="str">
        <x:v>採用CPUと公式マニュアルのレーン構成を照合する。</x:v>
      </x:c>
      <x:c r="H10" s="14" t="str">
        <x:v>motherboard-asrock-b650m-pro-rs-wifi-official-layout</x:v>
      </x:c>
      <x:c r="I10" s="23" t="n">
        <x:v>46219</x:v>
      </x:c>
      <x:c r="J10" s="23" t="n">
        <x:v>46219</x:v>
      </x:c>
      <x:c r="K10" s="14"/>
    </x:row>
    <x:row r="11" ht="58" customHeight="1">
      <x:c r="A11" s="14" t="str">
        <x:v>motherboard-msi-mag-z790-tomahawk-wifi-sata-raid</x:v>
      </x:c>
      <x:c r="B11" s="14" t="str">
        <x:v>motherboard-msi-mag-z790-tomahawk-wifi</x:v>
      </x:c>
      <x:c r="C11" s="14" t="str">
        <x:v>sata_raid_limit</x:v>
      </x:c>
      <x:c r="D11" s="14" t="str">
        <x:v>low</x:v>
      </x:c>
      <x:c r="E11" s="14" t="str">
        <x:v>open</x:v>
      </x:c>
      <x:c r="F11" s="14" t="str">
        <x:v>SATA_A1/A2はRAID機能の対象外。</x:v>
      </x:c>
      <x:c r="G11" s="14" t="str">
        <x:v>RAID対象ドライブはチップセット側SATAポートへ接続する。</x:v>
      </x:c>
      <x:c r="H11" s="14" t="str">
        <x:v>motherboard-msi-mag-z790-tomahawk-wifi-official-layout</x:v>
      </x:c>
      <x:c r="I11" s="23" t="n">
        <x:v>46219</x:v>
      </x:c>
      <x:c r="J11" s="23" t="n">
        <x:v>46219</x:v>
      </x:c>
      <x:c r="K11" s="14"/>
    </x:row>
    <x:row r="12" ht="58" customHeight="1">
      <x:c r="A12" s="14" t="str">
        <x:v>motherboard-gigabyte-z890-aorus-elite-wifi7-rev-10-revision</x:v>
      </x:c>
      <x:c r="B12" s="14" t="str">
        <x:v>motherboard-gigabyte-z890-aorus-elite-wifi7-rev-10</x:v>
      </x:c>
      <x:c r="C12" s="14" t="str">
        <x:v>revision_ambiguity</x:v>
      </x:c>
      <x:c r="D12" s="14" t="str">
        <x:v>medium</x:v>
      </x:c>
      <x:c r="E12" s="14" t="str">
        <x:v>open</x:v>
      </x:c>
      <x:c r="F12" s="14" t="str">
        <x:v>rev. 1.0とrev. 1.1でWi-Fi 7コントローラーが異なる。</x:v>
      </x:c>
      <x:c r="G12" s="14" t="str">
        <x:v>外箱または基板印字でrev. 1.0を確認する。</x:v>
      </x:c>
      <x:c r="H12" s="14" t="str">
        <x:v>motherboard-gigabyte-z890-aorus-elite-wifi7-rev-10-official-layout</x:v>
      </x:c>
      <x:c r="I12" s="23" t="n">
        <x:v>46219</x:v>
      </x:c>
      <x:c r="J12" s="23" t="n">
        <x:v>46219</x:v>
      </x:c>
      <x:c r="K12" s="14"/>
    </x:row>
    <x:row r="13" ht="58" customHeight="1">
      <x:c r="A13" s="14" t="str">
        <x:v>motherboard-gigabyte-z890-aorus-elite-wifi7-rev-11-revision</x:v>
      </x:c>
      <x:c r="B13" s="14" t="str">
        <x:v>motherboard-gigabyte-z890-aorus-elite-wifi7-rev-11</x:v>
      </x:c>
      <x:c r="C13" s="14" t="str">
        <x:v>revision_ambiguity</x:v>
      </x:c>
      <x:c r="D13" s="14" t="str">
        <x:v>medium</x:v>
      </x:c>
      <x:c r="E13" s="14" t="str">
        <x:v>open</x:v>
      </x:c>
      <x:c r="F13" s="14" t="str">
        <x:v>rev. 1.0とrev. 1.1でWi-Fi 7コントローラーが異なる。</x:v>
      </x:c>
      <x:c r="G13" s="14" t="str">
        <x:v>外箱または基板印字でrev. 1.1を確認する。</x:v>
      </x:c>
      <x:c r="H13" s="14" t="str">
        <x:v>motherboard-gigabyte-z890-aorus-elite-wifi7-rev-11-official-layout</x:v>
      </x:c>
      <x:c r="I13" s="23" t="n">
        <x:v>46219</x:v>
      </x:c>
      <x:c r="J13" s="23" t="n">
        <x:v>46219</x:v>
      </x:c>
      <x:c r="K13" s="14"/>
    </x:row>
    <x:row r="14" ht="58" customHeight="1">
      <x:c r="A14" s="14" t="str">
        <x:v>motherboard-asrock-z890-steel-legend-wifi-thunderbolt-display</x:v>
      </x:c>
      <x:c r="B14" s="14" t="str">
        <x:v>motherboard-asrock-z890-steel-legend-wifi</x:v>
      </x:c>
      <x:c r="C14" s="14" t="str">
        <x:v>display_output_condition</x:v>
      </x:c>
      <x:c r="D14" s="14" t="str">
        <x:v>low</x:v>
      </x:c>
      <x:c r="E14" s="14" t="str">
        <x:v>open</x:v>
      </x:c>
      <x:c r="F14" s="14" t="str">
        <x:v>Thunderbolt映像出力はCPU内蔵GPUなど構成条件に依存する。</x:v>
      </x:c>
      <x:c r="G14" s="14" t="str">
        <x:v>映像出力目的ではCPUの内蔵GPU有無と配線条件を確認する。</x:v>
      </x:c>
      <x:c r="H14" s="14" t="str">
        <x:v>motherboard-asrock-z890-steel-legend-wifi-official-layout</x:v>
      </x:c>
      <x:c r="I14" s="23" t="n">
        <x:v>46219</x:v>
      </x:c>
      <x:c r="J14" s="23" t="n">
        <x:v>46219</x:v>
      </x:c>
      <x:c r="K14" s="14"/>
    </x:row>
    <x:row r="15" ht="58" customHeight="1">
      <x:c r="A15" s="14"/>
      <x:c r="B15" s="14"/>
      <x:c r="C15" s="14"/>
      <x:c r="D15" s="14"/>
      <x:c r="E15" s="14"/>
      <x:c r="F15" s="14"/>
      <x:c r="G15" s="14"/>
      <x:c r="H15" s="14"/>
      <x:c r="I15" s="23"/>
      <x:c r="J15" s="23"/>
      <x:c r="K15" s="14"/>
    </x:row>
    <x:row r="16" ht="58" customHeight="1">
      <x:c r="A16" s="14"/>
      <x:c r="B16" s="14"/>
      <x:c r="C16" s="14"/>
      <x:c r="D16" s="14"/>
      <x:c r="E16" s="14"/>
      <x:c r="F16" s="14"/>
      <x:c r="G16" s="14"/>
      <x:c r="H16" s="14"/>
      <x:c r="I16" s="23"/>
      <x:c r="J16" s="23"/>
      <x:c r="K16" s="14"/>
    </x:row>
    <x:row r="17" ht="58" customHeight="1">
      <x:c r="A17" s="14"/>
      <x:c r="B17" s="14"/>
      <x:c r="C17" s="14"/>
      <x:c r="D17" s="14"/>
      <x:c r="E17" s="14"/>
      <x:c r="F17" s="14"/>
      <x:c r="G17" s="14"/>
      <x:c r="H17" s="14"/>
      <x:c r="I17" s="23"/>
      <x:c r="J17" s="23"/>
      <x:c r="K17" s="14"/>
    </x:row>
    <x:row r="18" ht="58" customHeight="1">
      <x:c r="A18" s="14"/>
      <x:c r="B18" s="14"/>
      <x:c r="C18" s="14"/>
      <x:c r="D18" s="14"/>
      <x:c r="E18" s="14"/>
      <x:c r="F18" s="14"/>
      <x:c r="G18" s="14"/>
      <x:c r="H18" s="14"/>
      <x:c r="I18" s="23"/>
      <x:c r="J18" s="23"/>
      <x:c r="K18" s="14"/>
    </x:row>
    <x:row r="19" ht="58" customHeight="1">
      <x:c r="A19" s="14"/>
      <x:c r="B19" s="14"/>
      <x:c r="C19" s="14"/>
      <x:c r="D19" s="14"/>
      <x:c r="E19" s="14"/>
      <x:c r="F19" s="14"/>
      <x:c r="G19" s="14"/>
      <x:c r="H19" s="14"/>
      <x:c r="I19" s="23"/>
      <x:c r="J19" s="23"/>
      <x:c r="K19" s="14"/>
    </x:row>
    <x:row r="20" ht="58" customHeight="1">
      <x:c r="A20" s="14"/>
      <x:c r="B20" s="14"/>
      <x:c r="C20" s="14"/>
      <x:c r="D20" s="14"/>
      <x:c r="E20" s="14"/>
      <x:c r="F20" s="14"/>
      <x:c r="G20" s="14"/>
      <x:c r="H20" s="14"/>
      <x:c r="I20" s="23"/>
      <x:c r="J20" s="23"/>
      <x:c r="K20" s="14"/>
    </x:row>
    <x:row r="21" ht="58" customHeight="1">
      <x:c r="A21" s="14"/>
      <x:c r="B21" s="14"/>
      <x:c r="C21" s="14"/>
      <x:c r="D21" s="14"/>
      <x:c r="E21" s="14"/>
      <x:c r="F21" s="14"/>
      <x:c r="G21" s="14"/>
      <x:c r="H21" s="14"/>
      <x:c r="I21" s="23"/>
      <x:c r="J21" s="23"/>
      <x:c r="K21" s="14"/>
    </x:row>
    <x:row r="22" ht="58" customHeight="1">
      <x:c r="A22" s="14"/>
      <x:c r="B22" s="14"/>
      <x:c r="C22" s="14"/>
      <x:c r="D22" s="14"/>
      <x:c r="E22" s="14"/>
      <x:c r="F22" s="14"/>
      <x:c r="G22" s="14"/>
      <x:c r="H22" s="14"/>
      <x:c r="I22" s="23"/>
      <x:c r="J22" s="23"/>
      <x:c r="K22" s="14"/>
    </x:row>
    <x:row r="23" ht="58" customHeight="1">
      <x:c r="A23" s="14"/>
      <x:c r="B23" s="14"/>
      <x:c r="C23" s="14"/>
      <x:c r="D23" s="14"/>
      <x:c r="E23" s="14"/>
      <x:c r="F23" s="14"/>
      <x:c r="G23" s="14"/>
      <x:c r="H23" s="14"/>
      <x:c r="I23" s="23"/>
      <x:c r="J23" s="23"/>
      <x:c r="K23" s="14"/>
    </x:row>
    <x:row r="24" ht="58" customHeight="1">
      <x:c r="A24" s="14"/>
      <x:c r="B24" s="14"/>
      <x:c r="C24" s="14"/>
      <x:c r="D24" s="14"/>
      <x:c r="E24" s="14"/>
      <x:c r="F24" s="14"/>
      <x:c r="G24" s="14"/>
      <x:c r="H24" s="14"/>
      <x:c r="I24" s="23"/>
      <x:c r="J24" s="23"/>
      <x:c r="K24" s="14"/>
    </x:row>
    <x:row r="25" ht="58" customHeight="1">
      <x:c r="A25" s="14"/>
      <x:c r="B25" s="14"/>
      <x:c r="C25" s="14"/>
      <x:c r="D25" s="14"/>
      <x:c r="E25" s="14"/>
      <x:c r="F25" s="14"/>
      <x:c r="G25" s="14"/>
      <x:c r="H25" s="14"/>
      <x:c r="I25" s="23"/>
      <x:c r="J25" s="23"/>
      <x:c r="K25" s="14"/>
    </x:row>
    <x:row r="26" ht="58" customHeight="1">
      <x:c r="A26" s="14"/>
      <x:c r="B26" s="14"/>
      <x:c r="C26" s="14"/>
      <x:c r="D26" s="14"/>
      <x:c r="E26" s="14"/>
      <x:c r="F26" s="14"/>
      <x:c r="G26" s="14"/>
      <x:c r="H26" s="14"/>
      <x:c r="I26" s="23"/>
      <x:c r="J26" s="23"/>
      <x:c r="K26" s="14"/>
    </x:row>
    <x:row r="27" ht="58" customHeight="1">
      <x:c r="A27" s="14"/>
      <x:c r="B27" s="14"/>
      <x:c r="C27" s="14"/>
      <x:c r="D27" s="14"/>
      <x:c r="E27" s="14"/>
      <x:c r="F27" s="14"/>
      <x:c r="G27" s="14"/>
      <x:c r="H27" s="14"/>
      <x:c r="I27" s="23"/>
      <x:c r="J27" s="23"/>
      <x:c r="K27" s="14"/>
    </x:row>
    <x:row r="28" ht="58" customHeight="1">
      <x:c r="A28" s="14"/>
      <x:c r="B28" s="14"/>
      <x:c r="C28" s="14"/>
      <x:c r="D28" s="14"/>
      <x:c r="E28" s="14"/>
      <x:c r="F28" s="14"/>
      <x:c r="G28" s="14"/>
      <x:c r="H28" s="14"/>
      <x:c r="I28" s="23"/>
      <x:c r="J28" s="23"/>
      <x:c r="K28" s="14"/>
    </x:row>
    <x:row r="29" ht="58" customHeight="1">
      <x:c r="A29" s="14"/>
      <x:c r="B29" s="14"/>
      <x:c r="C29" s="14"/>
      <x:c r="D29" s="14"/>
      <x:c r="E29" s="14"/>
      <x:c r="F29" s="14"/>
      <x:c r="G29" s="14"/>
      <x:c r="H29" s="14"/>
      <x:c r="I29" s="23"/>
      <x:c r="J29" s="23"/>
      <x:c r="K29" s="14"/>
    </x:row>
    <x:row r="30" ht="58" customHeight="1">
      <x:c r="A30" s="14"/>
      <x:c r="B30" s="14"/>
      <x:c r="C30" s="14"/>
      <x:c r="D30" s="14"/>
      <x:c r="E30" s="14"/>
      <x:c r="F30" s="14"/>
      <x:c r="G30" s="14"/>
      <x:c r="H30" s="14"/>
      <x:c r="I30" s="23"/>
      <x:c r="J30" s="23"/>
      <x:c r="K30" s="14"/>
    </x:row>
    <x:row r="31" ht="58" customHeight="1">
      <x:c r="A31" s="14"/>
      <x:c r="B31" s="14"/>
      <x:c r="C31" s="14"/>
      <x:c r="D31" s="14"/>
      <x:c r="E31" s="14"/>
      <x:c r="F31" s="14"/>
      <x:c r="G31" s="14"/>
      <x:c r="H31" s="14"/>
      <x:c r="I31" s="23"/>
      <x:c r="J31" s="23"/>
      <x:c r="K31" s="14"/>
    </x:row>
    <x:row r="32" ht="58" customHeight="1">
      <x:c r="A32" s="14"/>
      <x:c r="B32" s="14"/>
      <x:c r="C32" s="14"/>
      <x:c r="D32" s="14"/>
      <x:c r="E32" s="14"/>
      <x:c r="F32" s="14"/>
      <x:c r="G32" s="14"/>
      <x:c r="H32" s="14"/>
      <x:c r="I32" s="23"/>
      <x:c r="J32" s="23"/>
      <x:c r="K32" s="14"/>
    </x:row>
    <x:row r="33" ht="58" customHeight="1">
      <x:c r="A33" s="14"/>
      <x:c r="B33" s="14"/>
      <x:c r="C33" s="14"/>
      <x:c r="D33" s="14"/>
      <x:c r="E33" s="14"/>
      <x:c r="F33" s="14"/>
      <x:c r="G33" s="14"/>
      <x:c r="H33" s="14"/>
      <x:c r="I33" s="23"/>
      <x:c r="J33" s="23"/>
      <x:c r="K33" s="14"/>
    </x:row>
    <x:row r="34" ht="58" customHeight="1">
      <x:c r="A34" s="14"/>
      <x:c r="B34" s="14"/>
      <x:c r="C34" s="14"/>
      <x:c r="D34" s="14"/>
      <x:c r="E34" s="14"/>
      <x:c r="F34" s="14"/>
      <x:c r="G34" s="14"/>
      <x:c r="H34" s="14"/>
      <x:c r="I34" s="23"/>
      <x:c r="J34" s="23"/>
      <x:c r="K34" s="14"/>
    </x:row>
    <x:row r="35" ht="58" customHeight="1">
      <x:c r="A35" s="14"/>
      <x:c r="B35" s="14"/>
      <x:c r="C35" s="14"/>
      <x:c r="D35" s="14"/>
      <x:c r="E35" s="14"/>
      <x:c r="F35" s="14"/>
      <x:c r="G35" s="14"/>
      <x:c r="H35" s="14"/>
      <x:c r="I35" s="23"/>
      <x:c r="J35" s="23"/>
      <x:c r="K35" s="14"/>
    </x:row>
    <x:row r="36" ht="58" customHeight="1">
      <x:c r="A36" s="14"/>
      <x:c r="B36" s="14"/>
      <x:c r="C36" s="14"/>
      <x:c r="D36" s="14"/>
      <x:c r="E36" s="14"/>
      <x:c r="F36" s="14"/>
      <x:c r="G36" s="14"/>
      <x:c r="H36" s="14"/>
      <x:c r="I36" s="23"/>
      <x:c r="J36" s="23"/>
      <x:c r="K36" s="14"/>
    </x:row>
    <x:row r="37" ht="58" customHeight="1">
      <x:c r="A37" s="14"/>
      <x:c r="B37" s="14"/>
      <x:c r="C37" s="14"/>
      <x:c r="D37" s="14"/>
      <x:c r="E37" s="14"/>
      <x:c r="F37" s="14"/>
      <x:c r="G37" s="14"/>
      <x:c r="H37" s="14"/>
      <x:c r="I37" s="23"/>
      <x:c r="J37" s="23"/>
      <x:c r="K37" s="14"/>
    </x:row>
    <x:row r="38" ht="58" customHeight="1">
      <x:c r="A38" s="14"/>
      <x:c r="B38" s="14"/>
      <x:c r="C38" s="14"/>
      <x:c r="D38" s="14"/>
      <x:c r="E38" s="14"/>
      <x:c r="F38" s="14"/>
      <x:c r="G38" s="14"/>
      <x:c r="H38" s="14"/>
      <x:c r="I38" s="23"/>
      <x:c r="J38" s="23"/>
      <x:c r="K38" s="14"/>
    </x:row>
    <x:row r="39" ht="58" customHeight="1">
      <x:c r="A39" s="14"/>
      <x:c r="B39" s="14"/>
      <x:c r="C39" s="14"/>
      <x:c r="D39" s="14"/>
      <x:c r="E39" s="14"/>
      <x:c r="F39" s="14"/>
      <x:c r="G39" s="14"/>
      <x:c r="H39" s="14"/>
      <x:c r="I39" s="23"/>
      <x:c r="J39" s="23"/>
      <x:c r="K39" s="14"/>
    </x:row>
    <x:row r="40" ht="58" customHeight="1">
      <x:c r="A40" s="14"/>
      <x:c r="B40" s="14"/>
      <x:c r="C40" s="14"/>
      <x:c r="D40" s="14"/>
      <x:c r="E40" s="14"/>
      <x:c r="F40" s="14"/>
      <x:c r="G40" s="14"/>
      <x:c r="H40" s="14"/>
      <x:c r="I40" s="23"/>
      <x:c r="J40" s="23"/>
      <x:c r="K40" s="14"/>
    </x:row>
    <x:row r="41" ht="58" customHeight="1">
      <x:c r="A41" s="14"/>
      <x:c r="B41" s="14"/>
      <x:c r="C41" s="14"/>
      <x:c r="D41" s="14"/>
      <x:c r="E41" s="14"/>
      <x:c r="F41" s="14"/>
      <x:c r="G41" s="14"/>
      <x:c r="H41" s="14"/>
      <x:c r="I41" s="23"/>
      <x:c r="J41" s="23"/>
      <x:c r="K41" s="14"/>
    </x:row>
    <x:row r="42" ht="58" customHeight="1">
      <x:c r="A42" s="14"/>
      <x:c r="B42" s="14"/>
      <x:c r="C42" s="14"/>
      <x:c r="D42" s="14"/>
      <x:c r="E42" s="14"/>
      <x:c r="F42" s="14"/>
      <x:c r="G42" s="14"/>
      <x:c r="H42" s="14"/>
      <x:c r="I42" s="23"/>
      <x:c r="J42" s="23"/>
      <x:c r="K42" s="14"/>
    </x:row>
    <x:row r="43" ht="58" customHeight="1">
      <x:c r="A43" s="14"/>
      <x:c r="B43" s="14"/>
      <x:c r="C43" s="14"/>
      <x:c r="D43" s="14"/>
      <x:c r="E43" s="14"/>
      <x:c r="F43" s="14"/>
      <x:c r="G43" s="14"/>
      <x:c r="H43" s="14"/>
      <x:c r="I43" s="23"/>
      <x:c r="J43" s="23"/>
      <x:c r="K43" s="14"/>
    </x:row>
    <x:row r="44" ht="58" customHeight="1">
      <x:c r="A44" s="14"/>
      <x:c r="B44" s="14"/>
      <x:c r="C44" s="14"/>
      <x:c r="D44" s="14"/>
      <x:c r="E44" s="14"/>
      <x:c r="F44" s="14"/>
      <x:c r="G44" s="14"/>
      <x:c r="H44" s="14"/>
      <x:c r="I44" s="23"/>
      <x:c r="J44" s="23"/>
      <x:c r="K44" s="14"/>
    </x:row>
  </x:sheetData>
  <x:mergeCells>
    <x:mergeCell ref="A1:K1"/>
    <x:mergeCell ref="A2:K2"/>
  </x:mergeCells>
  <x:dataValidations count="2">
    <x:dataValidation type="list" sqref="D5:D44">
      <x:formula1>'Lists'!$E$5:$E$9</x:formula1>
    </x:dataValidation>
    <x:dataValidation type="list" sqref="E5:E44">
      <x:formula1>'Lists'!$F$5:$F$8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fd16654146940fc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28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30" customHeight="1">
      <x:c r="A1" s="46" t="str">
        <x:v>用途プロファイル</x:v>
      </x:c>
      <x:c r="B1" s="46"/>
      <x:c r="C1" s="46"/>
      <x:c r="D1" s="46"/>
      <x:c r="E1" s="46"/>
      <x:c r="F1" s="46"/>
      <x:c r="G1" s="46"/>
      <x:c r="H1" s="46"/>
      <x:c r="I1" s="46"/>
      <x:c r="J1" s="46"/>
      <x:c r="K1" s="46"/>
    </x:row>
    <x:row r="2" ht="34" customHeight="1">
      <x:c r="A2" s="7" t="str">
        <x:v>用途ごとの名称と品質ゲート上書きを管理します。条件本体はRulesシートへ登録します。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8" customHeight="1">
      <x:c r="A4" s="49" t="str">
        <x:v>profile_id</x:v>
      </x:c>
      <x:c r="B4" s="49" t="str">
        <x:v>category</x:v>
      </x:c>
      <x:c r="C4" s="49" t="str">
        <x:v>name</x:v>
      </x:c>
      <x:c r="D4" s="49" t="str">
        <x:v>description</x:v>
      </x:c>
      <x:c r="E4" s="49" t="str">
        <x:v>minimum_evidence_count</x:v>
      </x:c>
      <x:c r="F4" s="49" t="str">
        <x:v>required_evidence_kinds</x:v>
      </x:c>
      <x:c r="G4" s="49" t="str">
        <x:v>forbidden_risk_flags</x:v>
      </x:c>
      <x:c r="H4" s="49" t="str">
        <x:v>minimum_tier</x:v>
      </x:c>
      <x:c r="I4" s="49" t="str">
        <x:v>max_review_age_days</x:v>
      </x:c>
      <x:c r="J4" s="49" t="str">
        <x:v>allowed_statuses</x:v>
      </x:c>
      <x:c r="K4" s="49" t="str">
        <x:v>enabled</x:v>
      </x:c>
    </x:row>
    <x:row r="5">
      <x:c r="A5" s="14" t="str">
        <x:v>cpu-am5-gaming-8core</x:v>
      </x:c>
      <x:c r="B5" s="14" t="str">
        <x:v>cpu</x:v>
      </x:c>
      <x:c r="C5" s="14" t="str">
        <x:v>AM5・8コア以上のゲーム向けCPU</x:v>
      </x:c>
      <x:c r="D5" s="14" t="str">
        <x:v>完全一致SKUの価格を比較する前に、用途に合うCPUを探すための条件です。</x:v>
      </x:c>
      <x:c r="E5" s="14"/>
      <x:c r="F5" s="14"/>
      <x:c r="G5" s="14"/>
      <x:c r="H5" s="14"/>
      <x:c r="I5" s="14"/>
      <x:c r="J5" s="14"/>
      <x:c r="K5" s="15" t="b">
        <x:v>1</x:v>
      </x:c>
    </x:row>
    <x:row r="6">
      <x:c r="A6" s="14" t="str">
        <x:v>gpu-1440p-16gb</x:v>
      </x:c>
      <x:c r="B6" s="14" t="str">
        <x:v>gpu</x:v>
      </x:c>
      <x:c r="C6" s="14" t="str">
        <x:v>1440p向け・VRAM 16GB以上</x:v>
      </x:c>
      <x:c r="D6" s="14" t="str">
        <x:v>GPUChipsのVRAM・PassMark性能を参照し、個別ボードの冷却・保証・寸法を評価します。</x:v>
      </x:c>
      <x:c r="E6" s="14"/>
      <x:c r="F6" s="14"/>
      <x:c r="G6" s="14" t="str">
        <x:v>known_safety_issue
unresolved_firmware_issue
cooler_defect
warranty_route_unclear</x:v>
      </x:c>
      <x:c r="H6" s="14"/>
      <x:c r="I6" s="14"/>
      <x:c r="J6" s="14"/>
      <x:c r="K6" s="15" t="b">
        <x:v>1</x:v>
      </x:c>
    </x:row>
    <x:row r="7">
      <x:c r="A7" s="14" t="str">
        <x:v>memory-ddr5-32gb-am5</x:v>
      </x:c>
      <x:c r="B7" s="14" t="str">
        <x:v>memory</x:v>
      </x:c>
      <x:c r="C7" s="14" t="str">
        <x:v>AM5向けDDR5-6000・32GB</x:v>
      </x:c>
      <x:c r="D7" s="14" t="str">
        <x:v>容量だけでなく枚数、速度、レイテンシ、EXPO対応を揃えて比較します。</x:v>
      </x:c>
      <x:c r="E7" s="14"/>
      <x:c r="F7" s="14"/>
      <x:c r="G7" s="14"/>
      <x:c r="H7" s="14"/>
      <x:c r="I7" s="14"/>
      <x:c r="J7" s="14"/>
      <x:c r="K7" s="15" t="b">
        <x:v>1</x:v>
      </x:c>
    </x:row>
    <x:row r="8">
      <x:c r="A8" s="14" t="str">
        <x:v>ssd-pcie4-balanced-2tb</x:v>
      </x:c>
      <x:c r="B8" s="14" t="str">
        <x:v>ssd</x:v>
      </x:c>
      <x:c r="C8" s="14" t="str">
        <x:v>PCIe 4.0・2TBの高品質SSD</x:v>
      </x:c>
      <x:c r="D8" s="14" t="str">
        <x:v>カタログ速度だけでなくNAND、キャッシュ、持続性能、保証、部品変更リスクを評価します。</x:v>
      </x:c>
      <x:c r="E8" s="14" t="n">
        <x:v>2</x:v>
      </x:c>
      <x:c r="F8" s="14" t="str">
        <x:v>independent_review</x:v>
      </x:c>
      <x:c r="G8" s="14" t="str">
        <x:v>known_safety_issue
unresolved_firmware_issue
component_swap_unverified</x:v>
      </x:c>
      <x:c r="H8" s="14"/>
      <x:c r="I8" s="14"/>
      <x:c r="J8" s="14"/>
      <x:c r="K8" s="15" t="b">
        <x:v>1</x:v>
      </x:c>
    </x:row>
    <x:row r="9">
      <x:c r="A9" s="14" t="str">
        <x:v>psu-atx31-850w-balanced</x:v>
      </x:c>
      <x:c r="B9" s="14" t="str">
        <x:v>psu</x:v>
      </x:c>
      <x:c r="C9" s="14" t="str">
        <x:v>ATX 3.1・850Wの高品質電源</x:v>
      </x:c>
      <x:c r="D9" s="14" t="str">
        <x:v>容量単価ではなく安全性、過渡応答、騒音、保証、コネクターを品質条件にします。</x:v>
      </x:c>
      <x:c r="E9" s="14" t="n">
        <x:v>2</x:v>
      </x:c>
      <x:c r="F9" s="14" t="str">
        <x:v>independent_review</x:v>
      </x:c>
      <x:c r="G9" s="14" t="str">
        <x:v>known_safety_issue
protection_behavior_unverified
connector_overheat_report</x:v>
      </x:c>
      <x:c r="H9" s="14"/>
      <x:c r="I9" s="14"/>
      <x:c r="J9" s="14"/>
      <x:c r="K9" s="15" t="b">
        <x:v>1</x:v>
      </x:c>
    </x:row>
    <x:row r="10">
      <x:c r="A10" s="14" t="str">
        <x:v>motherboard-am5-balanced</x:v>
      </x:c>
      <x:c r="B10" s="14" t="str">
        <x:v>motherboard</x:v>
      </x:c>
      <x:c r="C10" s="14" t="str">
        <x:v>AM5のバランス型マザーボード</x:v>
      </x:c>
      <x:c r="D10" s="14" t="str">
        <x:v>CPU対応表だけでなくVRM、レーン共有、BIOS復旧、I/O、基板リビジョンを評価します。</x:v>
      </x:c>
      <x:c r="E10" s="14" t="n">
        <x:v>2</x:v>
      </x:c>
      <x:c r="F10" s="14" t="str">
        <x:v>independent_review</x:v>
      </x:c>
      <x:c r="G10" s="14" t="str">
        <x:v>known_safety_issue
unresolved_firmware_issue
board_revision_unverified
vrm_test_missing</x:v>
      </x:c>
      <x:c r="H10" s="14"/>
      <x:c r="I10" s="14"/>
      <x:c r="J10" s="14"/>
      <x:c r="K10" s="15" t="b">
        <x:v>1</x:v>
      </x:c>
    </x:row>
    <x:row r="11">
      <x:c r="A11" s="14" t="str">
        <x:v>monitor-qhd27-high-refresh</x:v>
      </x:c>
      <x:c r="B11" s="14" t="str">
        <x:v>monitor</x:v>
      </x:c>
      <x:c r="C11" s="14" t="str">
        <x:v>27型QHD・高リフレッシュレートモニター</x:v>
      </x:c>
      <x:c r="D11" s="14" t="str">
        <x:v>公称1msではなく実測応答、オーバーシュート、VRR、輝度、保証を評価します。</x:v>
      </x:c>
      <x:c r="E11" s="14" t="n">
        <x:v>2</x:v>
      </x:c>
      <x:c r="F11" s="14" t="str">
        <x:v>independent_review</x:v>
      </x:c>
      <x:c r="G11" s="14" t="str">
        <x:v>known_safety_issue
panel_variant_unverified
severe_overshoot
warranty_route_unclear</x:v>
      </x:c>
      <x:c r="H11" s="14"/>
      <x:c r="I11" s="14"/>
      <x:c r="J11" s="14"/>
      <x:c r="K11" s="15" t="b">
        <x:v>1</x:v>
      </x:c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</x:row>
    <x:row r="22">
      <x:c r="A22"/>
      <x:c r="B22"/>
      <x:c r="C22"/>
      <x:c r="D22"/>
      <x:c r="E22"/>
      <x:c r="F22"/>
      <x:c r="G22"/>
      <x:c r="H22"/>
      <x:c r="I22"/>
      <x:c r="J22"/>
      <x:c r="K22"/>
    </x:row>
    <x:row r="23">
      <x:c r="A23"/>
      <x:c r="B23"/>
      <x:c r="C23"/>
      <x:c r="D23"/>
      <x:c r="E23"/>
      <x:c r="F23"/>
      <x:c r="G23"/>
      <x:c r="H23"/>
      <x:c r="I23"/>
      <x:c r="J23"/>
      <x:c r="K23"/>
    </x:row>
    <x:row r="24">
      <x:c r="A24"/>
      <x:c r="B24"/>
      <x:c r="C24"/>
      <x:c r="D24"/>
      <x:c r="E24"/>
      <x:c r="F24"/>
      <x:c r="G24"/>
      <x:c r="H24"/>
      <x:c r="I24"/>
      <x:c r="J24"/>
      <x:c r="K24"/>
    </x:row>
    <x:row r="25">
      <x:c r="A25"/>
      <x:c r="B25"/>
      <x:c r="C25"/>
      <x:c r="D25"/>
      <x:c r="E25"/>
      <x:c r="F25"/>
      <x:c r="G25"/>
      <x:c r="H25"/>
      <x:c r="I25"/>
      <x:c r="J25"/>
      <x:c r="K25"/>
    </x:row>
    <x:row r="26">
      <x:c r="A26"/>
      <x:c r="B26"/>
      <x:c r="C26"/>
      <x:c r="D26"/>
      <x:c r="E26"/>
      <x:c r="F26"/>
      <x:c r="G26"/>
      <x:c r="H26"/>
      <x:c r="I26"/>
      <x:c r="J26"/>
      <x:c r="K26"/>
    </x:row>
    <x:row r="27">
      <x:c r="A27"/>
      <x:c r="B27"/>
      <x:c r="C27"/>
      <x:c r="D27"/>
      <x:c r="E27"/>
      <x:c r="F27"/>
      <x:c r="G27"/>
      <x:c r="H27"/>
      <x:c r="I27"/>
      <x:c r="J27"/>
      <x:c r="K27"/>
    </x:row>
    <x:row r="28">
      <x:c r="A28"/>
      <x:c r="B28"/>
      <x:c r="C28"/>
      <x:c r="D28"/>
      <x:c r="E28"/>
      <x:c r="F28"/>
      <x:c r="G28"/>
      <x:c r="H28"/>
      <x:c r="I28"/>
      <x:c r="J28"/>
      <x:c r="K28"/>
    </x:row>
    <x:row r="29">
      <x:c r="A29"/>
      <x:c r="B29"/>
      <x:c r="C29"/>
      <x:c r="D29"/>
      <x:c r="E29"/>
      <x:c r="F29"/>
      <x:c r="G29"/>
      <x:c r="H29"/>
      <x:c r="I29"/>
      <x:c r="J29"/>
      <x:c r="K29"/>
    </x:row>
    <x:row r="30">
      <x:c r="A30"/>
      <x:c r="B30"/>
      <x:c r="C30"/>
      <x:c r="D30"/>
      <x:c r="E30"/>
      <x:c r="F30"/>
      <x:c r="G30"/>
      <x:c r="H30"/>
      <x:c r="I30"/>
      <x:c r="J30"/>
      <x:c r="K30"/>
    </x:row>
    <x:row r="31">
      <x:c r="A31"/>
      <x:c r="B31"/>
      <x:c r="C31"/>
      <x:c r="D31"/>
      <x:c r="E31"/>
      <x:c r="F31"/>
      <x:c r="G31"/>
      <x:c r="H31"/>
      <x:c r="I31"/>
      <x:c r="J31"/>
      <x:c r="K31"/>
    </x:row>
    <x:row r="32">
      <x:c r="A32"/>
      <x:c r="B32"/>
      <x:c r="C32"/>
      <x:c r="D32"/>
      <x:c r="E32"/>
      <x:c r="F32"/>
      <x:c r="G32"/>
      <x:c r="H32"/>
      <x:c r="I32"/>
      <x:c r="J32"/>
      <x:c r="K32"/>
    </x:row>
    <x:row r="33">
      <x:c r="A33"/>
      <x:c r="B33"/>
      <x:c r="C33"/>
      <x:c r="D33"/>
      <x:c r="E33"/>
      <x:c r="F33"/>
      <x:c r="G33"/>
      <x:c r="H33"/>
      <x:c r="I33"/>
      <x:c r="J33"/>
      <x:c r="K33"/>
    </x:row>
    <x:row r="34">
      <x:c r="A34"/>
      <x:c r="B34"/>
      <x:c r="C34"/>
      <x:c r="D34"/>
      <x:c r="E34"/>
      <x:c r="F34"/>
      <x:c r="G34"/>
      <x:c r="H34"/>
      <x:c r="I34"/>
      <x:c r="J34"/>
      <x:c r="K34"/>
    </x:row>
    <x:row r="35">
      <x:c r="A35"/>
      <x:c r="B35"/>
      <x:c r="C35"/>
      <x:c r="D35"/>
      <x:c r="E35"/>
      <x:c r="F35"/>
      <x:c r="G35"/>
      <x:c r="H35"/>
      <x:c r="I35"/>
      <x:c r="J35"/>
      <x:c r="K35"/>
    </x:row>
    <x:row r="36">
      <x:c r="A36"/>
      <x:c r="B36"/>
      <x:c r="C36"/>
      <x:c r="D36"/>
      <x:c r="E36"/>
      <x:c r="F36"/>
      <x:c r="G36"/>
      <x:c r="H36"/>
      <x:c r="I36"/>
      <x:c r="J36"/>
      <x:c r="K36"/>
    </x:row>
    <x:row r="37">
      <x:c r="A37"/>
      <x:c r="B37"/>
      <x:c r="C37"/>
      <x:c r="D37"/>
      <x:c r="E37"/>
      <x:c r="F37"/>
      <x:c r="G37"/>
      <x:c r="H37"/>
      <x:c r="I37"/>
      <x:c r="J37"/>
      <x:c r="K37"/>
    </x:row>
    <x:row r="38">
      <x:c r="A38"/>
      <x:c r="B38"/>
      <x:c r="C38"/>
      <x:c r="D38"/>
      <x:c r="E38"/>
      <x:c r="F38"/>
      <x:c r="G38"/>
      <x:c r="H38"/>
      <x:c r="I38"/>
      <x:c r="J38"/>
      <x:c r="K38"/>
    </x:row>
    <x:row r="39">
      <x:c r="A39"/>
      <x:c r="B39"/>
      <x:c r="C39"/>
      <x:c r="D39"/>
      <x:c r="E39"/>
      <x:c r="F39"/>
      <x:c r="G39"/>
      <x:c r="H39"/>
      <x:c r="I39"/>
      <x:c r="J39"/>
      <x:c r="K39"/>
    </x:row>
    <x:row r="40">
      <x:c r="A40"/>
      <x:c r="B40"/>
      <x:c r="C40"/>
      <x:c r="D40"/>
      <x:c r="E40"/>
      <x:c r="F40"/>
      <x:c r="G40"/>
      <x:c r="H40"/>
      <x:c r="I40"/>
      <x:c r="J40"/>
      <x:c r="K40"/>
    </x:row>
  </x:sheetData>
  <x:mergeCells>
    <x:mergeCell ref="A1:K1"/>
    <x:mergeCell ref="A2:K2"/>
  </x:mergeCells>
  <x:dataValidations count="3">
    <x:dataValidation type="list" sqref="B5:B21">
      <x:formula1>'Lists'!$J$5:$J$11</x:formula1>
    </x:dataValidation>
    <x:dataValidation type="list" sqref="H5:H21">
      <x:formula1>'Lists'!$B$5:$B$9</x:formula1>
    </x:dataValidation>
    <x:dataValidation type="list" sqref="K5:K21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7698ca7b04d4f9c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28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0" customHeight="1">
      <x:c r="A1" s="46" t="str">
        <x:v>用途別ルール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value_jsonは必ずJSON形式で入力します。例: "TLC"、true、["A","B"]。</x:v>
      </x:c>
      <x:c r="B2" s="7"/>
      <x:c r="C2" s="7"/>
      <x:c r="D2" s="7"/>
      <x:c r="E2" s="7"/>
      <x:c r="F2" s="7"/>
      <x:c r="G2" s="7"/>
      <x:c r="H2" s="7"/>
    </x:row>
    <x:row r="4" ht="38" customHeight="1">
      <x:c r="A4" s="49" t="str">
        <x:v>profile_id</x:v>
      </x:c>
      <x:c r="B4" s="49" t="str">
        <x:v>rule_type</x:v>
      </x:c>
      <x:c r="C4" s="49" t="str">
        <x:v>path</x:v>
      </x:c>
      <x:c r="D4" s="49" t="str">
        <x:v>op</x:v>
      </x:c>
      <x:c r="E4" s="49" t="str">
        <x:v>value_json</x:v>
      </x:c>
      <x:c r="F4" s="49" t="str">
        <x:v>weight</x:v>
      </x:c>
      <x:c r="G4" s="49" t="str">
        <x:v>label</x:v>
      </x:c>
      <x:c r="H4" s="49" t="str">
        <x:v>enabled</x:v>
      </x:c>
    </x:row>
    <x:row r="5">
      <x:c r="A5" s="14" t="str">
        <x:v>cpu-am5-gaming-8core</x:v>
      </x:c>
      <x:c r="B5" s="14" t="str">
        <x:v>requirement</x:v>
      </x:c>
      <x:c r="C5" s="14" t="str">
        <x:v>specs.socket</x:v>
      </x:c>
      <x:c r="D5" s="14" t="str">
        <x:v>eq</x:v>
      </x:c>
      <x:c r="E5" s="14" t="str">
        <x:v>"AM5"</x:v>
      </x:c>
      <x:c r="F5" s="14"/>
      <x:c r="G5" s="14" t="str">
        <x:v>AM5</x:v>
      </x:c>
      <x:c r="H5" s="15" t="b">
        <x:v>1</x:v>
      </x:c>
    </x:row>
    <x:row r="6">
      <x:c r="A6" s="14" t="str">
        <x:v>cpu-am5-gaming-8core</x:v>
      </x:c>
      <x:c r="B6" s="14" t="str">
        <x:v>requirement</x:v>
      </x:c>
      <x:c r="C6" s="14" t="str">
        <x:v>specs.cores</x:v>
      </x:c>
      <x:c r="D6" s="14" t="str">
        <x:v>gte</x:v>
      </x:c>
      <x:c r="E6" s="14" t="str">
        <x:v>8</x:v>
      </x:c>
      <x:c r="F6" s="14"/>
      <x:c r="G6" s="14" t="str">
        <x:v>8コア以上</x:v>
      </x:c>
      <x:c r="H6" s="15" t="b">
        <x:v>1</x:v>
      </x:c>
    </x:row>
    <x:row r="7">
      <x:c r="A7" s="14" t="str">
        <x:v>cpu-am5-gaming-8core</x:v>
      </x:c>
      <x:c r="B7" s="14" t="str">
        <x:v>requirement</x:v>
      </x:c>
      <x:c r="C7" s="14" t="str">
        <x:v>specs.retail_package</x:v>
      </x:c>
      <x:c r="D7" s="14" t="str">
        <x:v>eq</x:v>
      </x:c>
      <x:c r="E7" s="14" t="str">
        <x:v>true</x:v>
      </x:c>
      <x:c r="F7" s="14"/>
      <x:c r="G7" s="14" t="str">
        <x:v>国内リテールパッケージ</x:v>
      </x:c>
      <x:c r="H7" s="15" t="b">
        <x:v>1</x:v>
      </x:c>
    </x:row>
    <x:row r="8">
      <x:c r="A8" s="14" t="str">
        <x:v>cpu-am5-gaming-8core</x:v>
      </x:c>
      <x:c r="B8" s="14" t="str">
        <x:v>preference</x:v>
      </x:c>
      <x:c r="C8" s="14" t="str">
        <x:v>specs.cache_specialized_for_gaming</x:v>
      </x:c>
      <x:c r="D8" s="14" t="str">
        <x:v>eq</x:v>
      </x:c>
      <x:c r="E8" s="14" t="str">
        <x:v>true</x:v>
      </x:c>
      <x:c r="F8" s="14" t="n">
        <x:v>40</x:v>
      </x:c>
      <x:c r="G8" s="14" t="str">
        <x:v>ゲーム向け大容量キャッシュ</x:v>
      </x:c>
      <x:c r="H8" s="15" t="b">
        <x:v>1</x:v>
      </x:c>
    </x:row>
    <x:row r="9">
      <x:c r="A9" s="14" t="str">
        <x:v>cpu-am5-gaming-8core</x:v>
      </x:c>
      <x:c r="B9" s="14" t="str">
        <x:v>preference</x:v>
      </x:c>
      <x:c r="C9" s="14" t="str">
        <x:v>specs.integrated_graphics</x:v>
      </x:c>
      <x:c r="D9" s="14" t="str">
        <x:v>eq</x:v>
      </x:c>
      <x:c r="E9" s="14" t="str">
        <x:v>true</x:v>
      </x:c>
      <x:c r="F9" s="14" t="n">
        <x:v>10</x:v>
      </x:c>
      <x:c r="G9" s="14" t="str">
        <x:v>診断用内蔵GPU</x:v>
      </x:c>
      <x:c r="H9" s="15" t="b">
        <x:v>1</x:v>
      </x:c>
    </x:row>
    <x:row r="10">
      <x:c r="A10" s="14" t="str">
        <x:v>cpu-am5-gaming-8core</x:v>
      </x:c>
      <x:c r="B10" s="14" t="str">
        <x:v>preference</x:v>
      </x:c>
      <x:c r="C10" s="14" t="str">
        <x:v>specs.cooling_requirement_class</x:v>
      </x:c>
      <x:c r="D10" s="14" t="str">
        <x:v>in</x:v>
      </x:c>
      <x:c r="E10" s="14" t="str">
        <x:v>["medium","low"]</x:v>
      </x:c>
      <x:c r="F10" s="14" t="n">
        <x:v>20</x:v>
      </x:c>
      <x:c r="G10" s="14" t="str">
        <x:v>扱いやすい冷却条件</x:v>
      </x:c>
      <x:c r="H10" s="15" t="b">
        <x:v>1</x:v>
      </x:c>
    </x:row>
    <x:row r="11">
      <x:c r="A11" s="14" t="str">
        <x:v>cpu-am5-gaming-8core</x:v>
      </x:c>
      <x:c r="B11" s="14" t="str">
        <x:v>preference</x:v>
      </x:c>
      <x:c r="C11" s="14" t="str">
        <x:v>specs.platform_support_years_remaining</x:v>
      </x:c>
      <x:c r="D11" s="14" t="str">
        <x:v>gte</x:v>
      </x:c>
      <x:c r="E11" s="14" t="str">
        <x:v>2</x:v>
      </x:c>
      <x:c r="F11" s="14" t="n">
        <x:v>30</x:v>
      </x:c>
      <x:c r="G11" s="14" t="str">
        <x:v>プラットフォーム更新余地</x:v>
      </x:c>
      <x:c r="H11" s="15" t="b">
        <x:v>1</x:v>
      </x:c>
    </x:row>
    <x:row r="12">
      <x:c r="A12" s="14" t="str">
        <x:v>gpu-1440p-16gb</x:v>
      </x:c>
      <x:c r="B12" s="14" t="str">
        <x:v>requirement</x:v>
      </x:c>
      <x:c r="C12" s="14" t="str">
        <x:v>specs.gpu_chip.vram_gb</x:v>
      </x:c>
      <x:c r="D12" s="14" t="str">
        <x:v>gte</x:v>
      </x:c>
      <x:c r="E12" s="14" t="str">
        <x:v>16</x:v>
      </x:c>
      <x:c r="F12" s="14"/>
      <x:c r="G12" s="14" t="str">
        <x:v>VRAM 16GB以上</x:v>
      </x:c>
      <x:c r="H12" s="15" t="b">
        <x:v>1</x:v>
      </x:c>
    </x:row>
    <x:row r="13">
      <x:c r="A13" s="14" t="str">
        <x:v>gpu-1440p-16gb</x:v>
      </x:c>
      <x:c r="B13" s="14" t="str">
        <x:v>requirement</x:v>
      </x:c>
      <x:c r="C13" s="14" t="str">
        <x:v>specs.gpu_chip.passmark_g3d_mark</x:v>
      </x:c>
      <x:c r="D13" s="14" t="str">
        <x:v>gte</x:v>
      </x:c>
      <x:c r="E13" s="14" t="str">
        <x:v>25000</x:v>
      </x:c>
      <x:c r="F13" s="14"/>
      <x:c r="G13" s="14" t="str">
        <x:v>PassMark G3D 25,000以上</x:v>
      </x:c>
      <x:c r="H13" s="15" t="b">
        <x:v>1</x:v>
      </x:c>
    </x:row>
    <x:row r="14">
      <x:c r="A14" s="14" t="str">
        <x:v>gpu-1440p-16gb</x:v>
      </x:c>
      <x:c r="B14" s="14" t="str">
        <x:v>requirement</x:v>
      </x:c>
      <x:c r="C14" s="14" t="str">
        <x:v>specs.domestic_warranty_years</x:v>
      </x:c>
      <x:c r="D14" s="14" t="str">
        <x:v>gte</x:v>
      </x:c>
      <x:c r="E14" s="14" t="str">
        <x:v>1</x:v>
      </x:c>
      <x:c r="F14" s="14"/>
      <x:c r="G14" s="14" t="str">
        <x:v>国内保証1年以上</x:v>
      </x:c>
      <x:c r="H14" s="15" t="b">
        <x:v>1</x:v>
      </x:c>
    </x:row>
    <x:row r="15">
      <x:c r="A15" s="14" t="str">
        <x:v>gpu-1440p-16gb</x:v>
      </x:c>
      <x:c r="B15" s="14" t="str">
        <x:v>preference</x:v>
      </x:c>
      <x:c r="C15" s="14" t="str">
        <x:v>specs.cooler_noise_class</x:v>
      </x:c>
      <x:c r="D15" s="14" t="str">
        <x:v>in</x:v>
      </x:c>
      <x:c r="E15" s="14" t="str">
        <x:v>["quiet","average"]</x:v>
      </x:c>
      <x:c r="F15" s="14" t="n">
        <x:v>35</x:v>
      </x:c>
      <x:c r="G15" s="14" t="str">
        <x:v>騒音が平均以内</x:v>
      </x:c>
      <x:c r="H15" s="15" t="b">
        <x:v>1</x:v>
      </x:c>
    </x:row>
    <x:row r="16">
      <x:c r="A16" s="14" t="str">
        <x:v>gpu-1440p-16gb</x:v>
      </x:c>
      <x:c r="B16" s="14" t="str">
        <x:v>preference</x:v>
      </x:c>
      <x:c r="C16" s="14" t="str">
        <x:v>specs.slot_width</x:v>
      </x:c>
      <x:c r="D16" s="14" t="str">
        <x:v>lte</x:v>
      </x:c>
      <x:c r="E16" s="14" t="str">
        <x:v>3</x:v>
      </x:c>
      <x:c r="F16" s="14" t="n">
        <x:v>20</x:v>
      </x:c>
      <x:c r="G16" s="14" t="str">
        <x:v>3スロット以内</x:v>
      </x:c>
      <x:c r="H16" s="15" t="b">
        <x:v>1</x:v>
      </x:c>
    </x:row>
    <x:row r="17">
      <x:c r="A17" s="14" t="str">
        <x:v>gpu-1440p-16gb</x:v>
      </x:c>
      <x:c r="B17" s="14" t="str">
        <x:v>preference</x:v>
      </x:c>
      <x:c r="C17" s="14" t="str">
        <x:v>specs.power_connector_standard</x:v>
      </x:c>
      <x:c r="D17" s="14" t="str">
        <x:v>in</x:v>
      </x:c>
      <x:c r="E17" s="14" t="str">
        <x:v>["8pin","12V-2x6"]</x:v>
      </x:c>
      <x:c r="F17" s="14" t="n">
        <x:v>15</x:v>
      </x:c>
      <x:c r="G17" s="14" t="str">
        <x:v>標準的な補助電源</x:v>
      </x:c>
      <x:c r="H17" s="15" t="b">
        <x:v>1</x:v>
      </x:c>
    </x:row>
    <x:row r="18">
      <x:c r="A18" s="14" t="str">
        <x:v>gpu-1440p-16gb</x:v>
      </x:c>
      <x:c r="B18" s="14" t="str">
        <x:v>preference</x:v>
      </x:c>
      <x:c r="C18" s="14" t="str">
        <x:v>specs.cooler_quality_tier</x:v>
      </x:c>
      <x:c r="D18" s="14" t="str">
        <x:v>in</x:v>
      </x:c>
      <x:c r="E18" s="14" t="str">
        <x:v>["S","A","B"]</x:v>
      </x:c>
      <x:c r="F18" s="14" t="n">
        <x:v>30</x:v>
      </x:c>
      <x:c r="G18" s="14" t="str">
        <x:v>冷却品質B以上</x:v>
      </x:c>
      <x:c r="H18" s="15" t="b">
        <x:v>1</x:v>
      </x:c>
    </x:row>
    <x:row r="19">
      <x:c r="A19" s="14" t="str">
        <x:v>memory-ddr5-32gb-am5</x:v>
      </x:c>
      <x:c r="B19" s="14" t="str">
        <x:v>requirement</x:v>
      </x:c>
      <x:c r="C19" s="14" t="str">
        <x:v>specs.memory_type</x:v>
      </x:c>
      <x:c r="D19" s="14" t="str">
        <x:v>eq</x:v>
      </x:c>
      <x:c r="E19" s="14" t="str">
        <x:v>"DDR5"</x:v>
      </x:c>
      <x:c r="F19" s="14"/>
      <x:c r="G19" s="14" t="str">
        <x:v>DDR5</x:v>
      </x:c>
      <x:c r="H19" s="15" t="b">
        <x:v>1</x:v>
      </x:c>
    </x:row>
    <x:row r="20">
      <x:c r="A20" s="14" t="str">
        <x:v>memory-ddr5-32gb-am5</x:v>
      </x:c>
      <x:c r="B20" s="14" t="str">
        <x:v>requirement</x:v>
      </x:c>
      <x:c r="C20" s="14" t="str">
        <x:v>specs.total_capacity_gb</x:v>
      </x:c>
      <x:c r="D20" s="14" t="str">
        <x:v>eq</x:v>
      </x:c>
      <x:c r="E20" s="14" t="str">
        <x:v>32</x:v>
      </x:c>
      <x:c r="F20" s="14"/>
      <x:c r="G20" s="14" t="str">
        <x:v>合計32GB</x:v>
      </x:c>
      <x:c r="H20" s="15" t="b">
        <x:v>1</x:v>
      </x:c>
    </x:row>
    <x:row r="21">
      <x:c r="A21" s="14" t="str">
        <x:v>memory-ddr5-32gb-am5</x:v>
      </x:c>
      <x:c r="B21" s="14" t="str">
        <x:v>requirement</x:v>
      </x:c>
      <x:c r="C21" s="14" t="str">
        <x:v>specs.module_count</x:v>
      </x:c>
      <x:c r="D21" s="14" t="str">
        <x:v>eq</x:v>
      </x:c>
      <x:c r="E21" s="14" t="str">
        <x:v>2</x:v>
      </x:c>
      <x:c r="F21" s="14"/>
      <x:c r="G21" s="14" t="str">
        <x:v>2枚組</x:v>
      </x:c>
      <x:c r="H21" s="15" t="b">
        <x:v>1</x:v>
      </x:c>
    </x:row>
    <x:row r="22">
      <x:c r="A22" s="14" t="str">
        <x:v>memory-ddr5-32gb-am5</x:v>
      </x:c>
      <x:c r="B22" s="14" t="str">
        <x:v>requirement</x:v>
      </x:c>
      <x:c r="C22" s="14" t="str">
        <x:v>specs.data_rate_mt_s</x:v>
      </x:c>
      <x:c r="D22" s="14" t="str">
        <x:v>gte</x:v>
      </x:c>
      <x:c r="E22" s="14" t="str">
        <x:v>6000</x:v>
      </x:c>
      <x:c r="F22" s="14"/>
      <x:c r="G22" s="14" t="str">
        <x:v>DDR5-6000以上</x:v>
      </x:c>
      <x:c r="H22" s="15" t="b">
        <x:v>1</x:v>
      </x:c>
    </x:row>
    <x:row r="23">
      <x:c r="A23" s="14" t="str">
        <x:v>memory-ddr5-32gb-am5</x:v>
      </x:c>
      <x:c r="B23" s="14" t="str">
        <x:v>requirement</x:v>
      </x:c>
      <x:c r="C23" s="14" t="str">
        <x:v>specs.expo</x:v>
      </x:c>
      <x:c r="D23" s="14" t="str">
        <x:v>eq</x:v>
      </x:c>
      <x:c r="E23" s="14" t="str">
        <x:v>true</x:v>
      </x:c>
      <x:c r="F23" s="14"/>
      <x:c r="G23" s="14" t="str">
        <x:v>AMD EXPO対応</x:v>
      </x:c>
      <x:c r="H23" s="15" t="b">
        <x:v>1</x:v>
      </x:c>
    </x:row>
    <x:row r="24">
      <x:c r="A24" s="14" t="str">
        <x:v>memory-ddr5-32gb-am5</x:v>
      </x:c>
      <x:c r="B24" s="14" t="str">
        <x:v>preference</x:v>
      </x:c>
      <x:c r="C24" s="14" t="str">
        <x:v>specs.cas_latency</x:v>
      </x:c>
      <x:c r="D24" s="14" t="str">
        <x:v>lte</x:v>
      </x:c>
      <x:c r="E24" s="14" t="str">
        <x:v>32</x:v>
      </x:c>
      <x:c r="F24" s="14" t="n">
        <x:v>55</x:v>
      </x:c>
      <x:c r="G24" s="14" t="str">
        <x:v>CL32以下</x:v>
      </x:c>
      <x:c r="H24" s="15" t="b">
        <x:v>1</x:v>
      </x:c>
    </x:row>
    <x:row r="25">
      <x:c r="A25" s="14" t="str">
        <x:v>memory-ddr5-32gb-am5</x:v>
      </x:c>
      <x:c r="B25" s="14" t="str">
        <x:v>preference</x:v>
      </x:c>
      <x:c r="C25" s="14" t="str">
        <x:v>specs.module_height_mm</x:v>
      </x:c>
      <x:c r="D25" s="14" t="str">
        <x:v>lte</x:v>
      </x:c>
      <x:c r="E25" s="14" t="str">
        <x:v>45</x:v>
      </x:c>
      <x:c r="F25" s="14" t="n">
        <x:v>20</x:v>
      </x:c>
      <x:c r="G25" s="14" t="str">
        <x:v>大型空冷と干渉しにくい</x:v>
      </x:c>
      <x:c r="H25" s="15" t="b">
        <x:v>1</x:v>
      </x:c>
    </x:row>
    <x:row r="26">
      <x:c r="A26" s="14" t="str">
        <x:v>memory-ddr5-32gb-am5</x:v>
      </x:c>
      <x:c r="B26" s="14" t="str">
        <x:v>preference</x:v>
      </x:c>
      <x:c r="C26" s="14" t="str">
        <x:v>specs.warranty_class</x:v>
      </x:c>
      <x:c r="D26" s="14" t="str">
        <x:v>eq</x:v>
      </x:c>
      <x:c r="E26" s="14" t="str">
        <x:v>"limited_lifetime"</x:v>
      </x:c>
      <x:c r="F26" s="14" t="n">
        <x:v>25</x:v>
      </x:c>
      <x:c r="G26" s="14" t="str">
        <x:v>制限付き永久保証</x:v>
      </x:c>
      <x:c r="H26" s="15" t="b">
        <x:v>1</x:v>
      </x:c>
    </x:row>
    <x:row r="27">
      <x:c r="A27" s="14" t="str">
        <x:v>ssd-pcie4-balanced-2tb</x:v>
      </x:c>
      <x:c r="B27" s="14" t="str">
        <x:v>requirement</x:v>
      </x:c>
      <x:c r="C27" s="14" t="str">
        <x:v>specs.capacity_gb</x:v>
      </x:c>
      <x:c r="D27" s="14" t="str">
        <x:v>gte</x:v>
      </x:c>
      <x:c r="E27" s="14" t="str">
        <x:v>1900</x:v>
      </x:c>
      <x:c r="F27" s="14"/>
      <x:c r="G27" s="14" t="str">
        <x:v>実質2TBクラス</x:v>
      </x:c>
      <x:c r="H27" s="15" t="b">
        <x:v>1</x:v>
      </x:c>
    </x:row>
    <x:row r="28">
      <x:c r="A28" s="14" t="str">
        <x:v>ssd-pcie4-balanced-2tb</x:v>
      </x:c>
      <x:c r="B28" s="14" t="str">
        <x:v>requirement</x:v>
      </x:c>
      <x:c r="C28" s="14" t="str">
        <x:v>specs.form_factor</x:v>
      </x:c>
      <x:c r="D28" s="14" t="str">
        <x:v>eq</x:v>
      </x:c>
      <x:c r="E28" s="14" t="str">
        <x:v>"M.2 2280"</x:v>
      </x:c>
      <x:c r="F28" s="14"/>
      <x:c r="G28" s="14" t="str">
        <x:v>M.2 2280</x:v>
      </x:c>
      <x:c r="H28" s="15" t="b">
        <x:v>1</x:v>
      </x:c>
    </x:row>
    <x:row r="29">
      <x:c r="A29" s="14" t="str">
        <x:v>ssd-pcie4-balanced-2tb</x:v>
      </x:c>
      <x:c r="B29" s="14" t="str">
        <x:v>requirement</x:v>
      </x:c>
      <x:c r="C29" s="14" t="str">
        <x:v>specs.interface_generation</x:v>
      </x:c>
      <x:c r="D29" s="14" t="str">
        <x:v>gte</x:v>
      </x:c>
      <x:c r="E29" s="14" t="str">
        <x:v>4</x:v>
      </x:c>
      <x:c r="F29" s="14"/>
      <x:c r="G29" s="14" t="str">
        <x:v>PCIe 4.0以上</x:v>
      </x:c>
      <x:c r="H29" s="15" t="b">
        <x:v>1</x:v>
      </x:c>
    </x:row>
    <x:row r="30">
      <x:c r="A30" s="14" t="str">
        <x:v>ssd-pcie4-balanced-2tb</x:v>
      </x:c>
      <x:c r="B30" s="14" t="str">
        <x:v>requirement</x:v>
      </x:c>
      <x:c r="C30" s="14" t="str">
        <x:v>specs.warranty_years</x:v>
      </x:c>
      <x:c r="D30" s="14" t="str">
        <x:v>gte</x:v>
      </x:c>
      <x:c r="E30" s="14" t="str">
        <x:v>5</x:v>
      </x:c>
      <x:c r="F30" s="14"/>
      <x:c r="G30" s="14" t="str">
        <x:v>5年保証</x:v>
      </x:c>
      <x:c r="H30" s="15" t="b">
        <x:v>1</x:v>
      </x:c>
    </x:row>
    <x:row r="31">
      <x:c r="A31" s="14" t="str">
        <x:v>ssd-pcie4-balanced-2tb</x:v>
      </x:c>
      <x:c r="B31" s="14" t="str">
        <x:v>preference</x:v>
      </x:c>
      <x:c r="C31" s="14" t="str">
        <x:v>specs.nand_type</x:v>
      </x:c>
      <x:c r="D31" s="14" t="str">
        <x:v>eq</x:v>
      </x:c>
      <x:c r="E31" s="14" t="str">
        <x:v>"TLC"</x:v>
      </x:c>
      <x:c r="F31" s="14" t="n">
        <x:v>25</x:v>
      </x:c>
      <x:c r="G31" s="14" t="str">
        <x:v>TLC NAND</x:v>
      </x:c>
      <x:c r="H31" s="15" t="b">
        <x:v>1</x:v>
      </x:c>
    </x:row>
    <x:row r="32">
      <x:c r="A32" s="14" t="str">
        <x:v>ssd-pcie4-balanced-2tb</x:v>
      </x:c>
      <x:c r="B32" s="14" t="str">
        <x:v>preference</x:v>
      </x:c>
      <x:c r="C32" s="14" t="str">
        <x:v>specs.dram_cache</x:v>
      </x:c>
      <x:c r="D32" s="14" t="str">
        <x:v>eq</x:v>
      </x:c>
      <x:c r="E32" s="14" t="str">
        <x:v>true</x:v>
      </x:c>
      <x:c r="F32" s="14" t="n">
        <x:v>20</x:v>
      </x:c>
      <x:c r="G32" s="14" t="str">
        <x:v>DRAMキャッシュ搭載</x:v>
      </x:c>
      <x:c r="H32" s="15" t="b">
        <x:v>1</x:v>
      </x:c>
    </x:row>
    <x:row r="33">
      <x:c r="A33" s="14" t="str">
        <x:v>ssd-pcie4-balanced-2tb</x:v>
      </x:c>
      <x:c r="B33" s="14" t="str">
        <x:v>preference</x:v>
      </x:c>
      <x:c r="C33" s="14" t="str">
        <x:v>specs.sustained_write_class</x:v>
      </x:c>
      <x:c r="D33" s="14" t="str">
        <x:v>in</x:v>
      </x:c>
      <x:c r="E33" s="14" t="str">
        <x:v>["high","very_high"]</x:v>
      </x:c>
      <x:c r="F33" s="14" t="n">
        <x:v>20</x:v>
      </x:c>
      <x:c r="G33" s="14" t="str">
        <x:v>高い持続書き込み性能</x:v>
      </x:c>
      <x:c r="H33" s="15" t="b">
        <x:v>1</x:v>
      </x:c>
    </x:row>
    <x:row r="34">
      <x:c r="A34" s="14" t="str">
        <x:v>ssd-pcie4-balanced-2tb</x:v>
      </x:c>
      <x:c r="B34" s="14" t="str">
        <x:v>preference</x:v>
      </x:c>
      <x:c r="C34" s="14" t="str">
        <x:v>specs.tbw_tb</x:v>
      </x:c>
      <x:c r="D34" s="14" t="str">
        <x:v>gte</x:v>
      </x:c>
      <x:c r="E34" s="14" t="str">
        <x:v>1000</x:v>
      </x:c>
      <x:c r="F34" s="14" t="n">
        <x:v>15</x:v>
      </x:c>
      <x:c r="G34" s="14" t="str">
        <x:v>1000TBW以上</x:v>
      </x:c>
      <x:c r="H34" s="15" t="b">
        <x:v>1</x:v>
      </x:c>
    </x:row>
    <x:row r="35">
      <x:c r="A35" s="14" t="str">
        <x:v>ssd-pcie4-balanced-2tb</x:v>
      </x:c>
      <x:c r="B35" s="14" t="str">
        <x:v>preference</x:v>
      </x:c>
      <x:c r="C35" s="14" t="str">
        <x:v>specs.component_consistency</x:v>
      </x:c>
      <x:c r="D35" s="14" t="str">
        <x:v>eq</x:v>
      </x:c>
      <x:c r="E35" s="14" t="str">
        <x:v>"high"</x:v>
      </x:c>
      <x:c r="F35" s="14" t="n">
        <x:v>20</x:v>
      </x:c>
      <x:c r="G35" s="14" t="str">
        <x:v>主要部品の一貫性</x:v>
      </x:c>
      <x:c r="H35" s="15" t="b">
        <x:v>1</x:v>
      </x:c>
    </x:row>
    <x:row r="36">
      <x:c r="A36" s="14" t="str">
        <x:v>psu-atx31-850w-balanced</x:v>
      </x:c>
      <x:c r="B36" s="14" t="str">
        <x:v>requirement</x:v>
      </x:c>
      <x:c r="C36" s="14" t="str">
        <x:v>specs.wattage</x:v>
      </x:c>
      <x:c r="D36" s="14" t="str">
        <x:v>gte</x:v>
      </x:c>
      <x:c r="E36" s="14" t="str">
        <x:v>850</x:v>
      </x:c>
      <x:c r="F36" s="14"/>
      <x:c r="G36" s="14" t="str">
        <x:v>850W以上</x:v>
      </x:c>
      <x:c r="H36" s="15" t="b">
        <x:v>1</x:v>
      </x:c>
    </x:row>
    <x:row r="37">
      <x:c r="A37" s="14" t="str">
        <x:v>psu-atx31-850w-balanced</x:v>
      </x:c>
      <x:c r="B37" s="14" t="str">
        <x:v>requirement</x:v>
      </x:c>
      <x:c r="C37" s="14" t="str">
        <x:v>specs.atx_version</x:v>
      </x:c>
      <x:c r="D37" s="14" t="str">
        <x:v>in</x:v>
      </x:c>
      <x:c r="E37" s="14" t="str">
        <x:v>["3.0","3.1"]</x:v>
      </x:c>
      <x:c r="F37" s="14"/>
      <x:c r="G37" s="14" t="str">
        <x:v>ATX 3.x</x:v>
      </x:c>
      <x:c r="H37" s="15" t="b">
        <x:v>1</x:v>
      </x:c>
    </x:row>
    <x:row r="38">
      <x:c r="A38" s="14" t="str">
        <x:v>psu-atx31-850w-balanced</x:v>
      </x:c>
      <x:c r="B38" s="14" t="str">
        <x:v>requirement</x:v>
      </x:c>
      <x:c r="C38" s="14" t="str">
        <x:v>specs.native_12v2x6</x:v>
      </x:c>
      <x:c r="D38" s="14" t="str">
        <x:v>eq</x:v>
      </x:c>
      <x:c r="E38" s="14" t="str">
        <x:v>true</x:v>
      </x:c>
      <x:c r="F38" s="14"/>
      <x:c r="G38" s="14" t="str">
        <x:v>ネイティブ12V-2x6</x:v>
      </x:c>
      <x:c r="H38" s="15" t="b">
        <x:v>1</x:v>
      </x:c>
    </x:row>
    <x:row r="39">
      <x:c r="A39" s="14" t="str">
        <x:v>psu-atx31-850w-balanced</x:v>
      </x:c>
      <x:c r="B39" s="14" t="str">
        <x:v>requirement</x:v>
      </x:c>
      <x:c r="C39" s="14" t="str">
        <x:v>specs.warranty_years</x:v>
      </x:c>
      <x:c r="D39" s="14" t="str">
        <x:v>gte</x:v>
      </x:c>
      <x:c r="E39" s="14" t="str">
        <x:v>7</x:v>
      </x:c>
      <x:c r="F39" s="14"/>
      <x:c r="G39" s="14" t="str">
        <x:v>7年以上の保証</x:v>
      </x:c>
      <x:c r="H39" s="15" t="b">
        <x:v>1</x:v>
      </x:c>
    </x:row>
    <x:row r="40">
      <x:c r="A40" s="14" t="str">
        <x:v>psu-atx31-850w-balanced</x:v>
      </x:c>
      <x:c r="B40" s="14" t="str">
        <x:v>requirement</x:v>
      </x:c>
      <x:c r="C40" s="14" t="str">
        <x:v>specs.protection_set_complete</x:v>
      </x:c>
      <x:c r="D40" s="14" t="str">
        <x:v>eq</x:v>
      </x:c>
      <x:c r="E40" s="14" t="str">
        <x:v>true</x:v>
      </x:c>
      <x:c r="F40" s="14"/>
      <x:c r="G40" s="14" t="str">
        <x:v>主要保護回路を搭載</x:v>
      </x:c>
      <x:c r="H40" s="15" t="b">
        <x:v>1</x:v>
      </x:c>
    </x:row>
    <x:row r="41">
      <x:c r="A41" s="14" t="str">
        <x:v>psu-atx31-850w-balanced</x:v>
      </x:c>
      <x:c r="B41" s="14" t="str">
        <x:v>preference</x:v>
      </x:c>
      <x:c r="C41" s="14" t="str">
        <x:v>specs.efficiency_230v_tier</x:v>
      </x:c>
      <x:c r="D41" s="14" t="str">
        <x:v>in</x:v>
      </x:c>
      <x:c r="E41" s="14" t="str">
        <x:v>["Gold","Platinum","Titanium"]</x:v>
      </x:c>
      <x:c r="F41" s="14" t="n">
        <x:v>20</x:v>
      </x:c>
      <x:c r="G41" s="14" t="str">
        <x:v>230V効率Gold以上</x:v>
      </x:c>
      <x:c r="H41" s="15" t="b">
        <x:v>1</x:v>
      </x:c>
    </x:row>
    <x:row r="42">
      <x:c r="A42" s="14" t="str">
        <x:v>psu-atx31-850w-balanced</x:v>
      </x:c>
      <x:c r="B42" s="14" t="str">
        <x:v>preference</x:v>
      </x:c>
      <x:c r="C42" s="14" t="str">
        <x:v>specs.noise_tier</x:v>
      </x:c>
      <x:c r="D42" s="14" t="str">
        <x:v>in</x:v>
      </x:c>
      <x:c r="E42" s="14" t="str">
        <x:v>["A++","A+","A"]</x:v>
      </x:c>
      <x:c r="F42" s="14" t="n">
        <x:v>35</x:v>
      </x:c>
      <x:c r="G42" s="14" t="str">
        <x:v>高い静音評価</x:v>
      </x:c>
      <x:c r="H42" s="15" t="b">
        <x:v>1</x:v>
      </x:c>
    </x:row>
    <x:row r="43">
      <x:c r="A43" s="14" t="str">
        <x:v>psu-atx31-850w-balanced</x:v>
      </x:c>
      <x:c r="B43" s="14" t="str">
        <x:v>preference</x:v>
      </x:c>
      <x:c r="C43" s="14" t="str">
        <x:v>specs.electrical_performance_tier</x:v>
      </x:c>
      <x:c r="D43" s="14" t="str">
        <x:v>in</x:v>
      </x:c>
      <x:c r="E43" s="14" t="str">
        <x:v>["A","S"]</x:v>
      </x:c>
      <x:c r="F43" s="14" t="n">
        <x:v>45</x:v>
      </x:c>
      <x:c r="G43" s="14" t="str">
        <x:v>電気性能A以上</x:v>
      </x:c>
      <x:c r="H43" s="15" t="b">
        <x:v>1</x:v>
      </x:c>
    </x:row>
    <x:row r="44">
      <x:c r="A44" s="14" t="str">
        <x:v>motherboard-am5-balanced</x:v>
      </x:c>
      <x:c r="B44" s="14" t="str">
        <x:v>requirement</x:v>
      </x:c>
      <x:c r="C44" s="14" t="str">
        <x:v>specs.socket</x:v>
      </x:c>
      <x:c r="D44" s="14" t="str">
        <x:v>eq</x:v>
      </x:c>
      <x:c r="E44" s="14" t="str">
        <x:v>"AM5"</x:v>
      </x:c>
      <x:c r="F44" s="14"/>
      <x:c r="G44" s="14" t="str">
        <x:v>AM5</x:v>
      </x:c>
      <x:c r="H44" s="15" t="b">
        <x:v>1</x:v>
      </x:c>
    </x:row>
    <x:row r="45">
      <x:c r="A45" s="14" t="str">
        <x:v>motherboard-am5-balanced</x:v>
      </x:c>
      <x:c r="B45" s="14" t="str">
        <x:v>requirement</x:v>
      </x:c>
      <x:c r="C45" s="14" t="str">
        <x:v>specs.memory_type</x:v>
      </x:c>
      <x:c r="D45" s="14" t="str">
        <x:v>eq</x:v>
      </x:c>
      <x:c r="E45" s="14" t="str">
        <x:v>"DDR5"</x:v>
      </x:c>
      <x:c r="F45" s="14"/>
      <x:c r="G45" s="14" t="str">
        <x:v>DDR5</x:v>
      </x:c>
      <x:c r="H45" s="15" t="b">
        <x:v>1</x:v>
      </x:c>
    </x:row>
    <x:row r="46">
      <x:c r="A46" s="14" t="str">
        <x:v>motherboard-am5-balanced</x:v>
      </x:c>
      <x:c r="B46" s="14" t="str">
        <x:v>requirement</x:v>
      </x:c>
      <x:c r="C46" s="14" t="str">
        <x:v>specs.form_factor</x:v>
      </x:c>
      <x:c r="D46" s="14" t="str">
        <x:v>in</x:v>
      </x:c>
      <x:c r="E46" s="14" t="str">
        <x:v>["ATX","Micro-ATX"]</x:v>
      </x:c>
      <x:c r="F46" s="14"/>
      <x:c r="G46" s="14" t="str">
        <x:v>ATXまたはMicro-ATX</x:v>
      </x:c>
      <x:c r="H46" s="15" t="b">
        <x:v>1</x:v>
      </x:c>
    </x:row>
    <x:row r="47">
      <x:c r="A47" s="14" t="str">
        <x:v>motherboard-am5-balanced</x:v>
      </x:c>
      <x:c r="B47" s="14" t="str">
        <x:v>requirement</x:v>
      </x:c>
      <x:c r="C47" s="14" t="str">
        <x:v>specs.bios_flashback</x:v>
      </x:c>
      <x:c r="D47" s="14" t="str">
        <x:v>eq</x:v>
      </x:c>
      <x:c r="E47" s="14" t="str">
        <x:v>true</x:v>
      </x:c>
      <x:c r="F47" s="14"/>
      <x:c r="G47" s="14" t="str">
        <x:v>CPUなしBIOS更新</x:v>
      </x:c>
      <x:c r="H47" s="15" t="b">
        <x:v>1</x:v>
      </x:c>
    </x:row>
    <x:row r="48">
      <x:c r="A48" s="14" t="str">
        <x:v>motherboard-am5-balanced</x:v>
      </x:c>
      <x:c r="B48" s="14" t="str">
        <x:v>requirement</x:v>
      </x:c>
      <x:c r="C48" s="14" t="str">
        <x:v>specs.m2_slots</x:v>
      </x:c>
      <x:c r="D48" s="14" t="str">
        <x:v>gte</x:v>
      </x:c>
      <x:c r="E48" s="14" t="str">
        <x:v>3</x:v>
      </x:c>
      <x:c r="F48" s="14"/>
      <x:c r="G48" s="14" t="str">
        <x:v>M.2スロット3基以上</x:v>
      </x:c>
      <x:c r="H48" s="15" t="b">
        <x:v>1</x:v>
      </x:c>
    </x:row>
    <x:row r="49">
      <x:c r="A49" s="14" t="str">
        <x:v>motherboard-am5-balanced</x:v>
      </x:c>
      <x:c r="B49" s="14" t="str">
        <x:v>requirement</x:v>
      </x:c>
      <x:c r="C49" s="14" t="str">
        <x:v>specs.vrm_sustained_cpu_class</x:v>
      </x:c>
      <x:c r="D49" s="14" t="str">
        <x:v>in</x:v>
      </x:c>
      <x:c r="E49" s="14" t="str">
        <x:v>["mainstream","high_end"]</x:v>
      </x:c>
      <x:c r="F49" s="14"/>
      <x:c r="G49" s="14" t="str">
        <x:v>対象CPUを継続負荷で運用可能</x:v>
      </x:c>
      <x:c r="H49" s="15" t="b">
        <x:v>1</x:v>
      </x:c>
    </x:row>
    <x:row r="50">
      <x:c r="A50" s="14" t="str">
        <x:v>motherboard-am5-balanced</x:v>
      </x:c>
      <x:c r="B50" s="14" t="str">
        <x:v>preference</x:v>
      </x:c>
      <x:c r="C50" s="14" t="str">
        <x:v>specs.lan_speed_gbps</x:v>
      </x:c>
      <x:c r="D50" s="14" t="str">
        <x:v>gte</x:v>
      </x:c>
      <x:c r="E50" s="14" t="str">
        <x:v>2.5</x:v>
      </x:c>
      <x:c r="F50" s="14" t="n">
        <x:v>20</x:v>
      </x:c>
      <x:c r="G50" s="14" t="str">
        <x:v>2.5GbE以上</x:v>
      </x:c>
      <x:c r="H50" s="15" t="b">
        <x:v>1</x:v>
      </x:c>
    </x:row>
    <x:row r="51">
      <x:c r="A51" s="14" t="str">
        <x:v>motherboard-am5-balanced</x:v>
      </x:c>
      <x:c r="B51" s="14" t="str">
        <x:v>preference</x:v>
      </x:c>
      <x:c r="C51" s="14" t="str">
        <x:v>specs.wifi_generation</x:v>
      </x:c>
      <x:c r="D51" s="14" t="str">
        <x:v>gte</x:v>
      </x:c>
      <x:c r="E51" s="14" t="str">
        <x:v>6</x:v>
      </x:c>
      <x:c r="F51" s="14" t="n">
        <x:v>15</x:v>
      </x:c>
      <x:c r="G51" s="14" t="str">
        <x:v>Wi-Fi 6以上</x:v>
      </x:c>
      <x:c r="H51" s="15" t="b">
        <x:v>1</x:v>
      </x:c>
    </x:row>
    <x:row r="52">
      <x:c r="A52" s="14" t="str">
        <x:v>motherboard-am5-balanced</x:v>
      </x:c>
      <x:c r="B52" s="14" t="str">
        <x:v>preference</x:v>
      </x:c>
      <x:c r="C52" s="14" t="str">
        <x:v>specs.pcie5_m2_slots</x:v>
      </x:c>
      <x:c r="D52" s="14" t="str">
        <x:v>gte</x:v>
      </x:c>
      <x:c r="E52" s="14" t="str">
        <x:v>1</x:v>
      </x:c>
      <x:c r="F52" s="14" t="n">
        <x:v>20</x:v>
      </x:c>
      <x:c r="G52" s="14" t="str">
        <x:v>PCIe 5.0 M.2</x:v>
      </x:c>
      <x:c r="H52" s="15" t="b">
        <x:v>1</x:v>
      </x:c>
    </x:row>
    <x:row r="53">
      <x:c r="A53" s="14" t="str">
        <x:v>motherboard-am5-balanced</x:v>
      </x:c>
      <x:c r="B53" s="14" t="str">
        <x:v>preference</x:v>
      </x:c>
      <x:c r="C53" s="14" t="str">
        <x:v>specs.lane_sharing_severity</x:v>
      </x:c>
      <x:c r="D53" s="14" t="str">
        <x:v>in</x:v>
      </x:c>
      <x:c r="E53" s="14" t="str">
        <x:v>["none","low"]</x:v>
      </x:c>
      <x:c r="F53" s="14" t="n">
        <x:v>30</x:v>
      </x:c>
      <x:c r="G53" s="14" t="str">
        <x:v>レーン共有の制約が少ない</x:v>
      </x:c>
      <x:c r="H53" s="15" t="b">
        <x:v>1</x:v>
      </x:c>
    </x:row>
    <x:row r="54">
      <x:c r="A54" s="14" t="str">
        <x:v>motherboard-am5-balanced</x:v>
      </x:c>
      <x:c r="B54" s="14" t="str">
        <x:v>preference</x:v>
      </x:c>
      <x:c r="C54" s="14" t="str">
        <x:v>specs.debug_features</x:v>
      </x:c>
      <x:c r="D54" s="14" t="str">
        <x:v>intersects</x:v>
      </x:c>
      <x:c r="E54" s="14" t="str">
        <x:v>["post_code","debug_led"]</x:v>
      </x:c>
      <x:c r="F54" s="14" t="n">
        <x:v>15</x:v>
      </x:c>
      <x:c r="G54" s="14" t="str">
        <x:v>デバッグ機能</x:v>
      </x:c>
      <x:c r="H54" s="15" t="b">
        <x:v>1</x:v>
      </x:c>
    </x:row>
    <x:row r="55">
      <x:c r="A55" s="14" t="str">
        <x:v>monitor-qhd27-high-refresh</x:v>
      </x:c>
      <x:c r="B55" s="14" t="str">
        <x:v>requirement</x:v>
      </x:c>
      <x:c r="C55" s="14" t="str">
        <x:v>specs.size_inch</x:v>
      </x:c>
      <x:c r="D55" s="14" t="str">
        <x:v>gte</x:v>
      </x:c>
      <x:c r="E55" s="14" t="str">
        <x:v>26.5</x:v>
      </x:c>
      <x:c r="F55" s="14"/>
      <x:c r="G55" s="14" t="str">
        <x:v>26.5型以上</x:v>
      </x:c>
      <x:c r="H55" s="15" t="b">
        <x:v>1</x:v>
      </x:c>
    </x:row>
    <x:row r="56">
      <x:c r="A56" s="14" t="str">
        <x:v>monitor-qhd27-high-refresh</x:v>
      </x:c>
      <x:c r="B56" s="14" t="str">
        <x:v>requirement</x:v>
      </x:c>
      <x:c r="C56" s="14" t="str">
        <x:v>specs.size_inch</x:v>
      </x:c>
      <x:c r="D56" s="14" t="str">
        <x:v>lte</x:v>
      </x:c>
      <x:c r="E56" s="14" t="str">
        <x:v>27.5</x:v>
      </x:c>
      <x:c r="F56" s="14"/>
      <x:c r="G56" s="14" t="str">
        <x:v>27.5型以下</x:v>
      </x:c>
      <x:c r="H56" s="15" t="b">
        <x:v>1</x:v>
      </x:c>
    </x:row>
    <x:row r="57">
      <x:c r="A57" s="14" t="str">
        <x:v>monitor-qhd27-high-refresh</x:v>
      </x:c>
      <x:c r="B57" s="14" t="str">
        <x:v>requirement</x:v>
      </x:c>
      <x:c r="C57" s="14" t="str">
        <x:v>specs.resolution</x:v>
      </x:c>
      <x:c r="D57" s="14" t="str">
        <x:v>eq</x:v>
      </x:c>
      <x:c r="E57" s="14" t="str">
        <x:v>"2560x1440"</x:v>
      </x:c>
      <x:c r="F57" s="14"/>
      <x:c r="G57" s="14" t="str">
        <x:v>QHD</x:v>
      </x:c>
      <x:c r="H57" s="15" t="b">
        <x:v>1</x:v>
      </x:c>
    </x:row>
    <x:row r="58">
      <x:c r="A58" s="14" t="str">
        <x:v>monitor-qhd27-high-refresh</x:v>
      </x:c>
      <x:c r="B58" s="14" t="str">
        <x:v>requirement</x:v>
      </x:c>
      <x:c r="C58" s="14" t="str">
        <x:v>specs.max_refresh_hz</x:v>
      </x:c>
      <x:c r="D58" s="14" t="str">
        <x:v>gte</x:v>
      </x:c>
      <x:c r="E58" s="14" t="str">
        <x:v>165</x:v>
      </x:c>
      <x:c r="F58" s="14"/>
      <x:c r="G58" s="14" t="str">
        <x:v>165Hz以上</x:v>
      </x:c>
      <x:c r="H58" s="15" t="b">
        <x:v>1</x:v>
      </x:c>
    </x:row>
    <x:row r="59">
      <x:c r="A59" s="14" t="str">
        <x:v>monitor-qhd27-high-refresh</x:v>
      </x:c>
      <x:c r="B59" s="14" t="str">
        <x:v>requirement</x:v>
      </x:c>
      <x:c r="C59" s="14" t="str">
        <x:v>specs.vrr</x:v>
      </x:c>
      <x:c r="D59" s="14" t="str">
        <x:v>eq</x:v>
      </x:c>
      <x:c r="E59" s="14" t="str">
        <x:v>true</x:v>
      </x:c>
      <x:c r="F59" s="14"/>
      <x:c r="G59" s="14" t="str">
        <x:v>VRR対応</x:v>
      </x:c>
      <x:c r="H59" s="15" t="b">
        <x:v>1</x:v>
      </x:c>
    </x:row>
    <x:row r="60">
      <x:c r="A60" s="14" t="str">
        <x:v>monitor-qhd27-high-refresh</x:v>
      </x:c>
      <x:c r="B60" s="14" t="str">
        <x:v>requirement</x:v>
      </x:c>
      <x:c r="C60" s="14" t="str">
        <x:v>specs.measured_response_reviewed</x:v>
      </x:c>
      <x:c r="D60" s="14" t="str">
        <x:v>eq</x:v>
      </x:c>
      <x:c r="E60" s="14" t="str">
        <x:v>true</x:v>
      </x:c>
      <x:c r="F60" s="14"/>
      <x:c r="G60" s="14" t="str">
        <x:v>応答性能の実測レビューあり</x:v>
      </x:c>
      <x:c r="H60" s="15" t="b">
        <x:v>1</x:v>
      </x:c>
    </x:row>
    <x:row r="61">
      <x:c r="A61" s="14" t="str">
        <x:v>monitor-qhd27-high-refresh</x:v>
      </x:c>
      <x:c r="B61" s="14" t="str">
        <x:v>preference</x:v>
      </x:c>
      <x:c r="C61" s="14" t="str">
        <x:v>specs.average_response_ms</x:v>
      </x:c>
      <x:c r="D61" s="14" t="str">
        <x:v>lte</x:v>
      </x:c>
      <x:c r="E61" s="14" t="str">
        <x:v>6</x:v>
      </x:c>
      <x:c r="F61" s="14" t="n">
        <x:v>25</x:v>
      </x:c>
      <x:c r="G61" s="14" t="str">
        <x:v>平均応答6ms以下</x:v>
      </x:c>
      <x:c r="H61" s="15" t="b">
        <x:v>1</x:v>
      </x:c>
    </x:row>
    <x:row r="62">
      <x:c r="A62" s="14" t="str">
        <x:v>monitor-qhd27-high-refresh</x:v>
      </x:c>
      <x:c r="B62" s="14" t="str">
        <x:v>preference</x:v>
      </x:c>
      <x:c r="C62" s="14" t="str">
        <x:v>specs.overshoot_class</x:v>
      </x:c>
      <x:c r="D62" s="14" t="str">
        <x:v>in</x:v>
      </x:c>
      <x:c r="E62" s="14" t="str">
        <x:v>["low","very_low"]</x:v>
      </x:c>
      <x:c r="F62" s="14" t="n">
        <x:v>25</x:v>
      </x:c>
      <x:c r="G62" s="14" t="str">
        <x:v>低オーバーシュート</x:v>
      </x:c>
      <x:c r="H62" s="15" t="b">
        <x:v>1</x:v>
      </x:c>
    </x:row>
    <x:row r="63">
      <x:c r="A63" s="14" t="str">
        <x:v>monitor-qhd27-high-refresh</x:v>
      </x:c>
      <x:c r="B63" s="14" t="str">
        <x:v>preference</x:v>
      </x:c>
      <x:c r="C63" s="14" t="str">
        <x:v>specs.brightness_nits</x:v>
      </x:c>
      <x:c r="D63" s="14" t="str">
        <x:v>gte</x:v>
      </x:c>
      <x:c r="E63" s="14" t="str">
        <x:v>350</x:v>
      </x:c>
      <x:c r="F63" s="14" t="n">
        <x:v>15</x:v>
      </x:c>
      <x:c r="G63" s="14" t="str">
        <x:v>350nit以上</x:v>
      </x:c>
      <x:c r="H63" s="15" t="b">
        <x:v>1</x:v>
      </x:c>
    </x:row>
    <x:row r="64">
      <x:c r="A64" s="14" t="str">
        <x:v>monitor-qhd27-high-refresh</x:v>
      </x:c>
      <x:c r="B64" s="14" t="str">
        <x:v>preference</x:v>
      </x:c>
      <x:c r="C64" s="14" t="str">
        <x:v>specs.height_adjustment</x:v>
      </x:c>
      <x:c r="D64" s="14" t="str">
        <x:v>eq</x:v>
      </x:c>
      <x:c r="E64" s="14" t="str">
        <x:v>true</x:v>
      </x:c>
      <x:c r="F64" s="14" t="n">
        <x:v>15</x:v>
      </x:c>
      <x:c r="G64" s="14" t="str">
        <x:v>高さ調整</x:v>
      </x:c>
      <x:c r="H64" s="15" t="b">
        <x:v>1</x:v>
      </x:c>
    </x:row>
    <x:row r="65">
      <x:c r="A65" s="14" t="str">
        <x:v>monitor-qhd27-high-refresh</x:v>
      </x:c>
      <x:c r="B65" s="14" t="str">
        <x:v>preference</x:v>
      </x:c>
      <x:c r="C65" s="14" t="str">
        <x:v>specs.warranty_years</x:v>
      </x:c>
      <x:c r="D65" s="14" t="str">
        <x:v>gte</x:v>
      </x:c>
      <x:c r="E65" s="14" t="str">
        <x:v>3</x:v>
      </x:c>
      <x:c r="F65" s="14" t="n">
        <x:v>20</x:v>
      </x:c>
      <x:c r="G65" s="14" t="str">
        <x:v>3年以上の保証</x:v>
      </x:c>
      <x:c r="H65" s="15" t="b">
        <x:v>1</x:v>
      </x:c>
    </x:row>
    <x:row r="66">
      <x:c r="A66" s="14"/>
      <x:c r="B66" s="14"/>
      <x:c r="C66" s="14"/>
      <x:c r="D66" s="14"/>
      <x:c r="E66" s="14"/>
      <x:c r="F66" s="14"/>
      <x:c r="G66" s="14"/>
      <x:c r="H66" s="14"/>
    </x:row>
    <x:row r="67">
      <x:c r="A67" s="14"/>
      <x:c r="B67" s="14"/>
      <x:c r="C67" s="14"/>
      <x:c r="D67" s="14"/>
      <x:c r="E67" s="14"/>
      <x:c r="F67" s="14"/>
      <x:c r="G67" s="14"/>
      <x:c r="H67" s="14"/>
    </x:row>
    <x:row r="68">
      <x:c r="A68" s="14"/>
      <x:c r="B68" s="14"/>
      <x:c r="C68" s="14"/>
      <x:c r="D68" s="14"/>
      <x:c r="E68" s="14"/>
      <x:c r="F68" s="14"/>
      <x:c r="G68" s="14"/>
      <x:c r="H68" s="14"/>
    </x:row>
    <x:row r="69">
      <x:c r="A69" s="14"/>
      <x:c r="B69" s="14"/>
      <x:c r="C69" s="14"/>
      <x:c r="D69" s="14"/>
      <x:c r="E69" s="14"/>
      <x:c r="F69" s="14"/>
      <x:c r="G69" s="14"/>
      <x:c r="H69" s="14"/>
    </x:row>
    <x:row r="70">
      <x:c r="A70" s="14"/>
      <x:c r="B70" s="14"/>
      <x:c r="C70" s="14"/>
      <x:c r="D70" s="14"/>
      <x:c r="E70" s="14"/>
      <x:c r="F70" s="14"/>
      <x:c r="G70" s="14"/>
      <x:c r="H70" s="14"/>
    </x:row>
    <x:row r="71">
      <x:c r="A71" s="14"/>
      <x:c r="B71" s="14"/>
      <x:c r="C71" s="14"/>
      <x:c r="D71" s="14"/>
      <x:c r="E71" s="14"/>
      <x:c r="F71" s="14"/>
      <x:c r="G71" s="14"/>
      <x:c r="H71" s="14"/>
    </x:row>
    <x:row r="72">
      <x:c r="A72" s="14"/>
      <x:c r="B72" s="14"/>
      <x:c r="C72" s="14"/>
      <x:c r="D72" s="14"/>
      <x:c r="E72" s="14"/>
      <x:c r="F72" s="14"/>
      <x:c r="G72" s="14"/>
      <x:c r="H72" s="14"/>
    </x:row>
    <x:row r="73">
      <x:c r="A73" s="14"/>
      <x:c r="B73" s="14"/>
      <x:c r="C73" s="14"/>
      <x:c r="D73" s="14"/>
      <x:c r="E73" s="14"/>
      <x:c r="F73" s="14"/>
      <x:c r="G73" s="14"/>
      <x:c r="H73" s="14"/>
    </x:row>
    <x:row r="74">
      <x:c r="A74" s="14"/>
      <x:c r="B74" s="14"/>
      <x:c r="C74" s="14"/>
      <x:c r="D74" s="14"/>
      <x:c r="E74" s="14"/>
      <x:c r="F74" s="14"/>
      <x:c r="G74" s="14"/>
      <x:c r="H74" s="14"/>
    </x:row>
    <x:row r="75">
      <x:c r="A75" s="14"/>
      <x:c r="B75" s="14"/>
      <x:c r="C75" s="14"/>
      <x:c r="D75" s="14"/>
      <x:c r="E75" s="14"/>
      <x:c r="F75" s="14"/>
      <x:c r="G75" s="14"/>
      <x:c r="H75" s="14"/>
    </x:row>
    <x:row r="76">
      <x:c r="A76" s="14"/>
      <x:c r="B76" s="14"/>
      <x:c r="C76" s="14"/>
      <x:c r="D76" s="14"/>
      <x:c r="E76" s="14"/>
      <x:c r="F76" s="14"/>
      <x:c r="G76" s="14"/>
      <x:c r="H76" s="14"/>
    </x:row>
    <x:row r="77">
      <x:c r="A77" s="14"/>
      <x:c r="B77" s="14"/>
      <x:c r="C77" s="14"/>
      <x:c r="D77" s="14"/>
      <x:c r="E77" s="14"/>
      <x:c r="F77" s="14"/>
      <x:c r="G77" s="14"/>
      <x:c r="H77" s="14"/>
    </x:row>
    <x:row r="78">
      <x:c r="A78" s="14"/>
      <x:c r="B78" s="14"/>
      <x:c r="C78" s="14"/>
      <x:c r="D78" s="14"/>
      <x:c r="E78" s="14"/>
      <x:c r="F78" s="14"/>
      <x:c r="G78" s="14"/>
      <x:c r="H78" s="14"/>
    </x:row>
    <x:row r="79">
      <x:c r="A79" s="14"/>
      <x:c r="B79" s="14"/>
      <x:c r="C79" s="14"/>
      <x:c r="D79" s="14"/>
      <x:c r="E79" s="14"/>
      <x:c r="F79" s="14"/>
      <x:c r="G79" s="14"/>
      <x:c r="H79" s="14"/>
    </x:row>
    <x:row r="80">
      <x:c r="A80" s="14"/>
      <x:c r="B80" s="14"/>
      <x:c r="C80" s="14"/>
      <x:c r="D80" s="14"/>
      <x:c r="E80" s="14"/>
      <x:c r="F80" s="14"/>
      <x:c r="G80" s="14"/>
      <x:c r="H80" s="14"/>
    </x:row>
    <x:row r="81">
      <x:c r="A81" s="14"/>
      <x:c r="B81" s="14"/>
      <x:c r="C81" s="14"/>
      <x:c r="D81" s="14"/>
      <x:c r="E81" s="14"/>
      <x:c r="F81" s="14"/>
      <x:c r="G81" s="14"/>
      <x:c r="H81" s="14"/>
    </x:row>
    <x:row r="82">
      <x:c r="A82" s="14"/>
      <x:c r="B82" s="14"/>
      <x:c r="C82" s="14"/>
      <x:c r="D82" s="14"/>
      <x:c r="E82" s="14"/>
      <x:c r="F82" s="14"/>
      <x:c r="G82" s="14"/>
      <x:c r="H82" s="14"/>
    </x:row>
    <x:row r="83">
      <x:c r="A83" s="14"/>
      <x:c r="B83" s="14"/>
      <x:c r="C83" s="14"/>
      <x:c r="D83" s="14"/>
      <x:c r="E83" s="14"/>
      <x:c r="F83" s="14"/>
      <x:c r="G83" s="14"/>
      <x:c r="H83" s="14"/>
    </x:row>
    <x:row r="84">
      <x:c r="A84" s="14"/>
      <x:c r="B84" s="14"/>
      <x:c r="C84" s="14"/>
      <x:c r="D84" s="14"/>
      <x:c r="E84" s="14"/>
      <x:c r="F84" s="14"/>
      <x:c r="G84" s="14"/>
      <x:c r="H84" s="14"/>
    </x:row>
    <x:row r="85">
      <x:c r="A85" s="14"/>
      <x:c r="B85" s="14"/>
      <x:c r="C85" s="14"/>
      <x:c r="D85" s="14"/>
      <x:c r="E85" s="14"/>
      <x:c r="F85" s="14"/>
      <x:c r="G85" s="14"/>
      <x:c r="H85" s="14"/>
    </x:row>
    <x:row r="86">
      <x:c r="A86"/>
      <x:c r="B86"/>
      <x:c r="C86"/>
      <x:c r="D86"/>
      <x:c r="E86"/>
      <x:c r="F86"/>
      <x:c r="G86"/>
      <x:c r="H86"/>
    </x:row>
    <x:row r="87">
      <x:c r="A87"/>
      <x:c r="B87"/>
      <x:c r="C87"/>
      <x:c r="D87"/>
      <x:c r="E87"/>
      <x:c r="F87"/>
      <x:c r="G87"/>
      <x:c r="H87"/>
    </x:row>
    <x:row r="88">
      <x:c r="A88"/>
      <x:c r="B88"/>
      <x:c r="C88"/>
      <x:c r="D88"/>
      <x:c r="E88"/>
      <x:c r="F88"/>
      <x:c r="G88"/>
      <x:c r="H88"/>
    </x:row>
    <x:row r="89">
      <x:c r="A89"/>
      <x:c r="B89"/>
      <x:c r="C89"/>
      <x:c r="D89"/>
      <x:c r="E89"/>
      <x:c r="F89"/>
      <x:c r="G89"/>
      <x:c r="H89"/>
    </x:row>
    <x:row r="90">
      <x:c r="A90"/>
      <x:c r="B90"/>
      <x:c r="C90"/>
      <x:c r="D90"/>
      <x:c r="E90"/>
      <x:c r="F90"/>
      <x:c r="G90"/>
      <x:c r="H90"/>
    </x:row>
    <x:row r="91">
      <x:c r="A91"/>
      <x:c r="B91"/>
      <x:c r="C91"/>
      <x:c r="D91"/>
      <x:c r="E91"/>
      <x:c r="F91"/>
      <x:c r="G91"/>
      <x:c r="H91"/>
    </x:row>
    <x:row r="92">
      <x:c r="A92"/>
      <x:c r="B92"/>
      <x:c r="C92"/>
      <x:c r="D92"/>
      <x:c r="E92"/>
      <x:c r="F92"/>
      <x:c r="G92"/>
      <x:c r="H92"/>
    </x:row>
    <x:row r="93">
      <x:c r="A93"/>
      <x:c r="B93"/>
      <x:c r="C93"/>
      <x:c r="D93"/>
      <x:c r="E93"/>
      <x:c r="F93"/>
      <x:c r="G93"/>
      <x:c r="H93"/>
    </x:row>
    <x:row r="94">
      <x:c r="A94"/>
      <x:c r="B94"/>
      <x:c r="C94"/>
      <x:c r="D94"/>
      <x:c r="E94"/>
      <x:c r="F94"/>
      <x:c r="G94"/>
      <x:c r="H94"/>
    </x:row>
    <x:row r="95">
      <x:c r="A95"/>
      <x:c r="B95"/>
      <x:c r="C95"/>
      <x:c r="D95"/>
      <x:c r="E95"/>
      <x:c r="F95"/>
      <x:c r="G95"/>
      <x:c r="H95"/>
    </x:row>
    <x:row r="96">
      <x:c r="A96"/>
      <x:c r="B96"/>
      <x:c r="C96"/>
      <x:c r="D96"/>
      <x:c r="E96"/>
      <x:c r="F96"/>
      <x:c r="G96"/>
      <x:c r="H96"/>
    </x:row>
    <x:row r="97">
      <x:c r="A97"/>
      <x:c r="B97"/>
      <x:c r="C97"/>
      <x:c r="D97"/>
      <x:c r="E97"/>
      <x:c r="F97"/>
      <x:c r="G97"/>
      <x:c r="H97"/>
    </x:row>
    <x:row r="98">
      <x:c r="A98"/>
      <x:c r="B98"/>
      <x:c r="C98"/>
      <x:c r="D98"/>
      <x:c r="E98"/>
      <x:c r="F98"/>
      <x:c r="G98"/>
      <x:c r="H98"/>
    </x:row>
    <x:row r="99">
      <x:c r="A99"/>
      <x:c r="B99"/>
      <x:c r="C99"/>
      <x:c r="D99"/>
      <x:c r="E99"/>
      <x:c r="F99"/>
      <x:c r="G99"/>
      <x:c r="H99"/>
    </x:row>
    <x:row r="100">
      <x:c r="A100"/>
      <x:c r="B100"/>
      <x:c r="C100"/>
      <x:c r="D100"/>
      <x:c r="E100"/>
      <x:c r="F100"/>
      <x:c r="G100"/>
      <x:c r="H100"/>
    </x:row>
  </x:sheetData>
  <x:mergeCells>
    <x:mergeCell ref="A1:H1"/>
    <x:mergeCell ref="A2:H2"/>
  </x:mergeCells>
  <x:dataValidations count="3">
    <x:dataValidation type="list" sqref="B5:B85">
      <x:formula1>'Lists'!$H$5:$H$6</x:formula1>
    </x:dataValidation>
    <x:dataValidation type="list" sqref="D5:D85">
      <x:formula1>'Lists'!$I$5:$I$15</x:formula1>
    </x:dataValidation>
    <x:dataValidation type="list" sqref="H5:H85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32641b35424049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48" hidden="0" customWidth="1"/>
    <x:col min="3" max="3" width="30" hidden="0" customWidth="1"/>
  </x:cols>
  <x:sheetData>
    <x:row r="1" ht="30" customHeight="1">
      <x:c r="A1" s="46" t="str">
        <x:v>全体設定</x:v>
      </x:c>
      <x:c r="B1" s="46"/>
      <x:c r="C1" s="46"/>
    </x:row>
    <x:row r="2" ht="34" customHeight="1">
      <x:c r="A2" s="7" t="str">
        <x:v>value_jsonはJSON形式で入力します。文字列はダブルクォート、配列は角括弧が必要です。</x:v>
      </x:c>
      <x:c r="B2" s="7"/>
      <x:c r="C2" s="7"/>
    </x:row>
    <x:row r="4" ht="38" customHeight="1">
      <x:c r="A4" s="49" t="str">
        <x:v>key</x:v>
      </x:c>
      <x:c r="B4" s="49" t="str">
        <x:v>value_json</x:v>
      </x:c>
      <x:c r="C4" s="49" t="str">
        <x:v>description</x:v>
      </x:c>
    </x:row>
    <x:row r="5">
      <x:c r="A5" s="14" t="str">
        <x:v>catalog.updated_at</x:v>
      </x:c>
      <x:c r="B5" s="14" t="str">
        <x:v>"2026-07-17"</x:v>
      </x:c>
      <x:c r="C5" s="14" t="str">
        <x:v>カタログ内容の更新日</x:v>
      </x:c>
    </x:row>
    <x:row r="6">
      <x:c r="A6" s="14" t="str">
        <x:v>quality_tier_order</x:v>
      </x:c>
      <x:c r="B6" s="14" t="str">
        <x:v>["unrated","C","B","A","S"]</x:v>
      </x:c>
      <x:c r="C6" s="14" t="str">
        <x:v>品質Tierの昇順</x:v>
      </x:c>
    </x:row>
    <x:row r="7">
      <x:c r="A7" s="14" t="str">
        <x:v>default_quality_gate.allowed_statuses</x:v>
      </x:c>
      <x:c r="B7" s="14" t="str">
        <x:v>["approved","preferred"]</x:v>
      </x:c>
      <x:c r="C7" s="14" t="str">
        <x:v>自動通知候補にできる状態</x:v>
      </x:c>
    </x:row>
    <x:row r="8">
      <x:c r="A8" s="14" t="str">
        <x:v>default_quality_gate.minimum_tier</x:v>
      </x:c>
      <x:c r="B8" s="14" t="str">
        <x:v>"B"</x:v>
      </x:c>
      <x:c r="C8" s="14" t="str">
        <x:v>最低品質Tier</x:v>
      </x:c>
    </x:row>
    <x:row r="9">
      <x:c r="A9" s="14" t="str">
        <x:v>default_quality_gate.minimum_evidence_count</x:v>
      </x:c>
      <x:c r="B9" s="14" t="str">
        <x:v>1</x:v>
      </x:c>
      <x:c r="C9" s="14" t="str">
        <x:v>最低根拠数</x:v>
      </x:c>
    </x:row>
    <x:row r="10">
      <x:c r="A10" s="14" t="str">
        <x:v>default_quality_gate.max_review_age_days</x:v>
      </x:c>
      <x:c r="B10" s="14" t="str">
        <x:v>730</x:v>
      </x:c>
      <x:c r="C10" s="14" t="str">
        <x:v>品質評価の有効日数</x:v>
      </x:c>
    </x:row>
    <x:row r="11">
      <x:c r="A11" s="14" t="str">
        <x:v>default_quality_gate.forbidden_risk_flags</x:v>
      </x:c>
      <x:c r="B11" s="14" t="str">
        <x:v>["known_safety_issue","unresolved_firmware_issue"]</x:v>
      </x:c>
      <x:c r="C11" s="14" t="str">
        <x:v>禁止リスクフラグ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ed44fe6a3a404d15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28" hidden="0" customWidth="1"/>
  </x:cols>
  <x:sheetData>
    <x:row r="1" ht="30" customHeight="1">
      <x:c r="A1" s="3" t="str">
        <x:v>カテゴリシート定義</x:v>
      </x:c>
      <x:c r="B1" s="3"/>
      <x:c r="C1" s="3"/>
      <x:c r="D1" s="3"/>
      <x:c r="E1" s="3"/>
      <x:c r="F1" s="3"/>
    </x:row>
    <x:row r="2" ht="34" customHeight="1">
      <x:c r="A2" s="7" t="str">
        <x:v>カテゴリ追加時は、この表とFieldDefinitionsへ定義を追加します。</x:v>
      </x:c>
      <x:c r="B2" s="7"/>
      <x:c r="C2" s="7"/>
      <x:c r="D2" s="7"/>
      <x:c r="E2" s="7"/>
      <x:c r="F2" s="7"/>
    </x:row>
    <x:row r="4" ht="38" customHeight="1">
      <x:c r="A4" s="120" t="str">
        <x:v>sheet_name</x:v>
      </x:c>
      <x:c r="B4" s="120" t="str">
        <x:v>category</x:v>
      </x:c>
      <x:c r="C4" s="120" t="str">
        <x:v>table_name</x:v>
      </x:c>
      <x:c r="D4" s="120" t="str">
        <x:v>header_row</x:v>
      </x:c>
      <x:c r="E4" s="120" t="str">
        <x:v>enabled</x:v>
      </x:c>
      <x:c r="F4" s="120" t="str">
        <x:v>description</x:v>
      </x:c>
    </x:row>
    <x:row r="5">
      <x:c r="A5" t="str">
        <x:v>CPU</x:v>
      </x:c>
      <x:c r="B5" t="str">
        <x:v>cpu</x:v>
      </x:c>
      <x:c r="C5" t="str">
        <x:v>CPUCatalog</x:v>
      </x:c>
      <x:c r="D5" t="n">
        <x:v>4</x:v>
      </x:c>
      <x:c r="E5" s="9" t="b">
        <x:v>1</x:v>
      </x:c>
      <x:c r="F5" s="121" t="str">
        <x:v>CPUの型番、品質評価、AM5互換性と性能クラスを管理</x:v>
      </x:c>
    </x:row>
    <x:row r="6">
      <x:c r="A6" t="str">
        <x:v>GPU</x:v>
      </x:c>
      <x:c r="B6" t="str">
        <x:v>gpu</x:v>
      </x:c>
      <x:c r="C6" t="str">
        <x:v>GPUCatalog</x:v>
      </x:c>
      <x:c r="D6" t="n">
        <x:v>4</x:v>
      </x:c>
      <x:c r="E6" s="9" t="b">
        <x:v>1</x:v>
      </x:c>
      <x:c r="F6" s="121" t="str">
        <x:v>GPUのVRAM、1440p性能、クーラー品質、寸法と保証を管理</x:v>
      </x:c>
    </x:row>
    <x:row r="7">
      <x:c r="A7" t="str">
        <x:v>GPUChips</x:v>
      </x:c>
      <x:c r="B7" t="str">
        <x:v>gpu_chip</x:v>
      </x:c>
      <x:c r="C7" t="str">
        <x:v>GPUChipsCatalog</x:v>
      </x:c>
      <x:c r="D7" t="n">
        <x:v>4</x:v>
      </x:c>
      <x:c r="E7" s="9" t="b">
        <x:v>1</x:v>
      </x:c>
      <x:c r="F7" s="121" t="str">
        <x:v>GPUチップの世代、VRAM、PassMark性能、発売日をボードSKUと分離して管理</x:v>
      </x:c>
    </x:row>
    <x:row r="8">
      <x:c r="A8" t="str">
        <x:v>Memory</x:v>
      </x:c>
      <x:c r="B8" t="str">
        <x:v>memory</x:v>
      </x:c>
      <x:c r="C8" t="str">
        <x:v>MemoryCatalog</x:v>
      </x:c>
      <x:c r="D8" t="n">
        <x:v>4</x:v>
      </x:c>
      <x:c r="E8" s="9" t="b">
        <x:v>1</x:v>
      </x:c>
      <x:c r="F8" s="121" t="str">
        <x:v>メモリ容量、速度、レイテンシ、EXPO、寸法と保証を管理</x:v>
      </x:c>
    </x:row>
    <x:row r="9">
      <x:c r="A9" t="str">
        <x:v>SSD</x:v>
      </x:c>
      <x:c r="B9" t="str">
        <x:v>ssd</x:v>
      </x:c>
      <x:c r="C9" t="str">
        <x:v>SSDCatalog</x:v>
      </x:c>
      <x:c r="D9" t="n">
        <x:v>4</x:v>
      </x:c>
      <x:c r="E9" s="9" t="b">
        <x:v>1</x:v>
      </x:c>
      <x:c r="F9" s="121" t="str">
        <x:v>SSDの容量、NAND、DRAM、持続性能、耐久性、部品一貫性を管理</x:v>
      </x:c>
    </x:row>
    <x:row r="10">
      <x:c r="A10" t="str">
        <x:v>PSU</x:v>
      </x:c>
      <x:c r="B10" t="str">
        <x:v>psu</x:v>
      </x:c>
      <x:c r="C10" t="str">
        <x:v>PSUCatalog</x:v>
      </x:c>
      <x:c r="D10" t="n">
        <x:v>4</x:v>
      </x:c>
      <x:c r="E10" s="9" t="b">
        <x:v>1</x:v>
      </x:c>
      <x:c r="F10" s="121" t="str">
        <x:v>電源容量、ATX規格、効率、静音性、電気性能、保護回路を管理</x:v>
      </x:c>
    </x:row>
    <x:row r="11">
      <x:c r="A11" t="str">
        <x:v>Motherboard</x:v>
      </x:c>
      <x:c r="B11" t="str">
        <x:v>motherboard</x:v>
      </x:c>
      <x:c r="C11" t="str">
        <x:v>MotherboardCatalog</x:v>
      </x:c>
      <x:c r="D11" t="n">
        <x:v>4</x:v>
      </x:c>
      <x:c r="E11" s="9" t="b">
        <x:v>1</x:v>
      </x:c>
      <x:c r="F11" s="121" t="str">
        <x:v>マザーボードのVRM、メモリ、PCIe/M.2、レーン共有、背面USB、ネットワーク、更新機能を管理</x:v>
      </x:c>
    </x:row>
    <x:row r="12">
      <x:c r="A12" t="str">
        <x:v>Monitor</x:v>
      </x:c>
      <x:c r="B12" t="str">
        <x:v>monitor</x:v>
      </x:c>
      <x:c r="C12" t="str">
        <x:v>MonitorCatalog</x:v>
      </x:c>
      <x:c r="D12" t="n">
        <x:v>4</x:v>
      </x:c>
      <x:c r="E12" s="9" t="b">
        <x:v>1</x:v>
      </x:c>
      <x:c r="F12" s="121" t="str">
        <x:v>モニターのパネル、実測応答、オーバーシュート、輝度、保証を管理</x:v>
      </x:c>
    </x:row>
    <x:row r="13">
      <x:c r="A13"/>
      <x:c r="B13"/>
      <x:c r="C13"/>
      <x:c r="D13"/>
      <x:c r="E13"/>
      <x:c r="F13" s="121"/>
    </x:row>
    <x:row r="14">
      <x:c r="A14"/>
      <x:c r="B14"/>
      <x:c r="C14"/>
      <x:c r="D14"/>
      <x:c r="E14"/>
      <x:c r="F14" s="121"/>
    </x:row>
    <x:row r="15">
      <x:c r="A15"/>
      <x:c r="B15"/>
      <x:c r="C15"/>
      <x:c r="D15"/>
      <x:c r="E15"/>
      <x:c r="F15" s="121"/>
    </x:row>
    <x:row r="16">
      <x:c r="A16"/>
      <x:c r="B16"/>
      <x:c r="C16"/>
      <x:c r="D16"/>
      <x:c r="E16"/>
      <x:c r="F16" s="121"/>
    </x:row>
    <x:row r="17">
      <x:c r="A17"/>
      <x:c r="B17"/>
      <x:c r="C17"/>
      <x:c r="D17"/>
      <x:c r="E17"/>
      <x:c r="F17" s="121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2198d7654f904b9f"/>
  </x:tableParts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34" hidden="0" customWidth="1"/>
    <x:col min="4" max="4" width="14" hidden="0" customWidth="1"/>
    <x:col min="5" max="5" width="12" hidden="0" customWidth="1"/>
    <x:col min="6" max="6" width="48" hidden="0" customWidth="1"/>
    <x:col min="7" max="7" width="16" hidden="0" customWidth="1"/>
    <x:col min="8" max="8" width="16" hidden="0" customWidth="1"/>
    <x:col min="9" max="9" width="16" hidden="0" customWidth="1"/>
  </x:cols>
  <x:sheetData>
    <x:row r="1" ht="30" customHeight="1">
      <x:c r="A1" s="3" t="str">
        <x:v>列定義</x:v>
      </x:c>
      <x:c r="B1" s="3"/>
      <x:c r="C1" s="3"/>
      <x:c r="D1" s="3"/>
      <x:c r="E1" s="3"/>
      <x:c r="F1" s="3"/>
      <x:c r="G1" s="3"/>
      <x:c r="H1" s="3"/>
      <x:c r="I1" s="3"/>
    </x:row>
    <x:row r="2" ht="34" customHeight="1">
      <x:c r="A2" s="7" t="str">
        <x:v>カテゴリシートの列をJSONへ変換する定義です。MotherboardSlotsとMotherboardUSBは専用処理で親製品のspecs.slots / specs.usb_portsへ結合します。</x:v>
      </x:c>
      <x:c r="B2" s="7"/>
      <x:c r="C2" s="7"/>
      <x:c r="D2" s="7"/>
      <x:c r="E2" s="7"/>
      <x:c r="F2" s="7"/>
      <x:c r="G2" s="7"/>
      <x:c r="H2" s="7"/>
      <x:c r="I2" s="7"/>
    </x:row>
    <x:row r="4" ht="34" customHeight="1">
      <x:c r="A4" s="124" t="str">
        <x:v>sheet_name</x:v>
      </x:c>
      <x:c r="B4" s="124" t="str">
        <x:v>column_name</x:v>
      </x:c>
      <x:c r="C4" s="124" t="str">
        <x:v>json_path</x:v>
      </x:c>
      <x:c r="D4" s="124" t="str">
        <x:v>data_type</x:v>
      </x:c>
      <x:c r="E4" s="124" t="str">
        <x:v>required</x:v>
      </x:c>
      <x:c r="F4" s="124" t="str">
        <x:v>description</x:v>
      </x:c>
      <x:c r="G4" s="124" t="str">
        <x:v>unit</x:v>
      </x:c>
      <x:c r="H4" s="124" t="str">
        <x:v>list_name</x:v>
      </x:c>
      <x:c r="I4" s="124" t="str">
        <x:v>active</x:v>
      </x:c>
    </x:row>
    <x:row r="5">
      <x:c r="A5" s="121" t="str">
        <x:v>CPU</x:v>
      </x:c>
      <x:c r="B5" s="121" t="str">
        <x:v>product_id</x:v>
      </x:c>
      <x:c r="C5" s="121" t="str">
        <x:v>id</x:v>
      </x:c>
      <x:c r="D5" s="121" t="str">
        <x:v>string</x:v>
      </x:c>
      <x:c r="E5" s="189" t="b">
        <x:v>1</x:v>
      </x:c>
      <x:c r="F5" s="121" t="str">
        <x:v>変更しない製品ID。英小文字・数字・ハイフン推奨</x:v>
      </x:c>
      <x:c r="G5" s="121"/>
      <x:c r="H5" s="121"/>
      <x:c r="I5" s="189" t="b">
        <x:v>1</x:v>
      </x:c>
    </x:row>
    <x:row r="6">
      <x:c r="A6" s="121" t="str">
        <x:v>CPU</x:v>
      </x:c>
      <x:c r="B6" s="121" t="str">
        <x:v>brand</x:v>
      </x:c>
      <x:c r="C6" s="121" t="str">
        <x:v>brand</x:v>
      </x:c>
      <x:c r="D6" s="121" t="str">
        <x:v>string</x:v>
      </x:c>
      <x:c r="E6" s="189" t="b">
        <x:v>1</x:v>
      </x:c>
      <x:c r="F6" s="121" t="str">
        <x:v>メーカー／ブランド</x:v>
      </x:c>
      <x:c r="G6" s="121"/>
      <x:c r="H6" s="121"/>
      <x:c r="I6" s="189" t="b">
        <x:v>1</x:v>
      </x:c>
    </x:row>
    <x:row r="7">
      <x:c r="A7" s="121" t="str">
        <x:v>CPU</x:v>
      </x:c>
      <x:c r="B7" s="121" t="str">
        <x:v>model</x:v>
      </x:c>
      <x:c r="C7" s="121" t="str">
        <x:v>model</x:v>
      </x:c>
      <x:c r="D7" s="121" t="str">
        <x:v>string</x:v>
      </x:c>
      <x:c r="E7" s="189" t="b">
        <x:v>1</x:v>
      </x:c>
      <x:c r="F7" s="121" t="str">
        <x:v>容量や仕様を特定できる正式型番</x:v>
      </x:c>
      <x:c r="G7" s="121"/>
      <x:c r="H7" s="121"/>
      <x:c r="I7" s="189" t="b">
        <x:v>1</x:v>
      </x:c>
    </x:row>
    <x:row r="8">
      <x:c r="A8" s="121" t="str">
        <x:v>CPU</x:v>
      </x:c>
      <x:c r="B8" s="121" t="str">
        <x:v>display_name</x:v>
      </x:c>
      <x:c r="C8" s="121" t="str">
        <x:v>display_name</x:v>
      </x:c>
      <x:c r="D8" s="121" t="str">
        <x:v>string</x:v>
      </x:c>
      <x:c r="E8" s="189" t="b">
        <x:v>0</x:v>
      </x:c>
      <x:c r="F8" s="121" t="str">
        <x:v>人間向け表示名</x:v>
      </x:c>
      <x:c r="G8" s="121"/>
      <x:c r="H8" s="121"/>
      <x:c r="I8" s="189" t="b">
        <x:v>1</x:v>
      </x:c>
    </x:row>
    <x:row r="9">
      <x:c r="A9" s="121" t="str">
        <x:v>CPU</x:v>
      </x:c>
      <x:c r="B9" s="121" t="str">
        <x:v>primary_asin</x:v>
      </x:c>
      <x:c r="C9" s="121" t="str">
        <x:v>identifiers.asins</x:v>
      </x:c>
      <x:c r="D9" s="121" t="str">
        <x:v>string_list</x:v>
      </x:c>
      <x:c r="E9" s="189" t="b">
        <x:v>0</x:v>
      </x:c>
      <x:c r="F9" s="121" t="str">
        <x:v>主要ASIN。複数なら改行区切り</x:v>
      </x:c>
      <x:c r="G9" s="121"/>
      <x:c r="H9" s="121"/>
      <x:c r="I9" s="189" t="b">
        <x:v>1</x:v>
      </x:c>
    </x:row>
    <x:row r="10">
      <x:c r="A10" s="121" t="str">
        <x:v>CPU</x:v>
      </x:c>
      <x:c r="B10" s="121" t="str">
        <x:v>primary_jan</x:v>
      </x:c>
      <x:c r="C10" s="121" t="str">
        <x:v>identifiers.jan</x:v>
      </x:c>
      <x:c r="D10" s="121" t="str">
        <x:v>string_list</x:v>
      </x:c>
      <x:c r="E10" s="189" t="b">
        <x:v>0</x:v>
      </x:c>
      <x:c r="F10" s="121" t="str">
        <x:v>主要JAN。文字列として入力</x:v>
      </x:c>
      <x:c r="G10" s="121"/>
      <x:c r="H10" s="121"/>
      <x:c r="I10" s="189" t="b">
        <x:v>1</x:v>
      </x:c>
    </x:row>
    <x:row r="11">
      <x:c r="A11" s="121" t="str">
        <x:v>CPU</x:v>
      </x:c>
      <x:c r="B11" s="121" t="str">
        <x:v>part_number</x:v>
      </x:c>
      <x:c r="C11" s="121" t="str">
        <x:v>identifiers.part_numbers</x:v>
      </x:c>
      <x:c r="D11" s="121" t="str">
        <x:v>string_list</x:v>
      </x:c>
      <x:c r="E11" s="189" t="b">
        <x:v>0</x:v>
      </x:c>
      <x:c r="F11" s="121" t="str">
        <x:v>メーカー部品番号</x:v>
      </x:c>
      <x:c r="G11" s="121"/>
      <x:c r="H11" s="121"/>
      <x:c r="I11" s="189" t="b">
        <x:v>1</x:v>
      </x:c>
    </x:row>
    <x:row r="12">
      <x:c r="A12" s="121" t="str">
        <x:v>CPU</x:v>
      </x:c>
      <x:c r="B12" s="121" t="str">
        <x:v>kakaku_product_id</x:v>
      </x:c>
      <x:c r="C12" s="121" t="str">
        <x:v>identifiers.kakaku_ids</x:v>
      </x:c>
      <x:c r="D12" s="121" t="str">
        <x:v>string_list</x:v>
      </x:c>
      <x:c r="E12" s="189" t="b">
        <x:v>0</x:v>
      </x:c>
      <x:c r="F12" s="121" t="str">
        <x:v>価格.com製品ID</x:v>
      </x:c>
      <x:c r="G12" s="121"/>
      <x:c r="H12" s="121"/>
      <x:c r="I12" s="189" t="b">
        <x:v>1</x:v>
      </x:c>
    </x:row>
    <x:row r="13">
      <x:c r="A13" s="121" t="str">
        <x:v>CPU</x:v>
      </x:c>
      <x:c r="B13" s="121" t="str">
        <x:v>aliases</x:v>
      </x:c>
      <x:c r="C13" s="121" t="str">
        <x:v>aliases</x:v>
      </x:c>
      <x:c r="D13" s="121" t="str">
        <x:v>string_list</x:v>
      </x:c>
      <x:c r="E13" s="189" t="b">
        <x:v>0</x:v>
      </x:c>
      <x:c r="F13" s="121" t="str">
        <x:v>別名・略称。1件1行</x:v>
      </x:c>
      <x:c r="G13" s="121"/>
      <x:c r="H13" s="121"/>
      <x:c r="I13" s="189" t="b">
        <x:v>1</x:v>
      </x:c>
    </x:row>
    <x:row r="14">
      <x:c r="A14" s="121" t="str">
        <x:v>CPU</x:v>
      </x:c>
      <x:c r="B14" s="121" t="str">
        <x:v>status</x:v>
      </x:c>
      <x:c r="C14" s="121" t="str">
        <x:v>quality.status</x:v>
      </x:c>
      <x:c r="D14" s="121" t="str">
        <x:v>string</x:v>
      </x:c>
      <x:c r="E14" s="189" t="b">
        <x:v>1</x:v>
      </x:c>
      <x:c r="F14" s="121" t="str">
        <x:v>品質評価状態</x:v>
      </x:c>
      <x:c r="G14" s="121"/>
      <x:c r="H14" s="121" t="str">
        <x:v>QualityStatus</x:v>
      </x:c>
      <x:c r="I14" s="189" t="b">
        <x:v>1</x:v>
      </x:c>
    </x:row>
    <x:row r="15">
      <x:c r="A15" s="121" t="str">
        <x:v>CPU</x:v>
      </x:c>
      <x:c r="B15" s="121" t="str">
        <x:v>tier</x:v>
      </x:c>
      <x:c r="C15" s="121" t="str">
        <x:v>quality.tier</x:v>
      </x:c>
      <x:c r="D15" s="121" t="str">
        <x:v>string</x:v>
      </x:c>
      <x:c r="E15" s="189" t="b">
        <x:v>1</x:v>
      </x:c>
      <x:c r="F15" s="121" t="str">
        <x:v>品質Tier</x:v>
      </x:c>
      <x:c r="G15" s="121"/>
      <x:c r="H15" s="121" t="str">
        <x:v>Tier</x:v>
      </x:c>
      <x:c r="I15" s="189" t="b">
        <x:v>1</x:v>
      </x:c>
    </x:row>
    <x:row r="16">
      <x:c r="A16" s="121" t="str">
        <x:v>CPU</x:v>
      </x:c>
      <x:c r="B16" s="121" t="str">
        <x:v>reviewed_at</x:v>
      </x:c>
      <x:c r="C16" s="121" t="str">
        <x:v>quality.reviewed_at</x:v>
      </x:c>
      <x:c r="D16" s="121" t="str">
        <x:v>date</x:v>
      </x:c>
      <x:c r="E16" s="189" t="b">
        <x:v>0</x:v>
      </x:c>
      <x:c r="F16" s="121" t="str">
        <x:v>品質評価日</x:v>
      </x:c>
      <x:c r="G16" s="121"/>
      <x:c r="H16" s="121"/>
      <x:c r="I16" s="189" t="b">
        <x:v>1</x:v>
      </x:c>
    </x:row>
    <x:row r="17">
      <x:c r="A17" s="121" t="str">
        <x:v>CPU</x:v>
      </x:c>
      <x:c r="B17" s="121" t="str">
        <x:v>quality_summary</x:v>
      </x:c>
      <x:c r="C17" s="121" t="str">
        <x:v>quality.summary</x:v>
      </x:c>
      <x:c r="D17" s="121" t="str">
        <x:v>string</x:v>
      </x:c>
      <x:c r="E17" s="189" t="b">
        <x:v>0</x:v>
      </x:c>
      <x:c r="F17" s="121" t="str">
        <x:v>総合評価の要約</x:v>
      </x:c>
      <x:c r="G17" s="121"/>
      <x:c r="H17" s="121"/>
      <x:c r="I17" s="189" t="b">
        <x:v>1</x:v>
      </x:c>
    </x:row>
    <x:row r="18">
      <x:c r="A18" s="121" t="str">
        <x:v>CPU</x:v>
      </x:c>
      <x:c r="B18" s="121" t="str">
        <x:v>strengths</x:v>
      </x:c>
      <x:c r="C18" s="121" t="str">
        <x:v>quality.strengths</x:v>
      </x:c>
      <x:c r="D18" s="121" t="str">
        <x:v>string_list</x:v>
      </x:c>
      <x:c r="E18" s="189" t="b">
        <x:v>0</x:v>
      </x:c>
      <x:c r="F18" s="121" t="str">
        <x:v>長所。1件1行</x:v>
      </x:c>
      <x:c r="G18" s="121"/>
      <x:c r="H18" s="121"/>
      <x:c r="I18" s="189" t="b">
        <x:v>1</x:v>
      </x:c>
    </x:row>
    <x:row r="19">
      <x:c r="A19" s="121" t="str">
        <x:v>CPU</x:v>
      </x:c>
      <x:c r="B19" s="121" t="str">
        <x:v>weaknesses</x:v>
      </x:c>
      <x:c r="C19" s="121" t="str">
        <x:v>quality.weaknesses</x:v>
      </x:c>
      <x:c r="D19" s="121" t="str">
        <x:v>string_list</x:v>
      </x:c>
      <x:c r="E19" s="189" t="b">
        <x:v>0</x:v>
      </x:c>
      <x:c r="F19" s="121" t="str">
        <x:v>短所。1件1行</x:v>
      </x:c>
      <x:c r="G19" s="121"/>
      <x:c r="H19" s="121"/>
      <x:c r="I19" s="189" t="b">
        <x:v>1</x:v>
      </x:c>
    </x:row>
    <x:row r="20">
      <x:c r="A20" s="121" t="str">
        <x:v>CPU</x:v>
      </x:c>
      <x:c r="B20" s="121" t="str">
        <x:v>risk_summary</x:v>
      </x:c>
      <x:c r="C20" s="121" t="str">
        <x:v>quality.risk_summary</x:v>
      </x:c>
      <x:c r="D20" s="121" t="str">
        <x:v>string</x:v>
      </x:c>
      <x:c r="E20" s="189" t="b">
        <x:v>0</x:v>
      </x:c>
      <x:c r="F20" s="121" t="str">
        <x:v>現在の主要リスク要約</x:v>
      </x:c>
      <x:c r="G20" s="121"/>
      <x:c r="H20" s="121"/>
      <x:c r="I20" s="189" t="b">
        <x:v>1</x:v>
      </x:c>
    </x:row>
    <x:row r="21">
      <x:c r="A21" s="121" t="str">
        <x:v>CPU</x:v>
      </x:c>
      <x:c r="B21" s="121" t="str">
        <x:v>notes</x:v>
      </x:c>
      <x:c r="C21" s="121" t="str">
        <x:v>notes</x:v>
      </x:c>
      <x:c r="D21" s="121" t="str">
        <x:v>string_list</x:v>
      </x:c>
      <x:c r="E21" s="189" t="b">
        <x:v>0</x:v>
      </x:c>
      <x:c r="F21" s="121" t="str">
        <x:v>補足。1件1行</x:v>
      </x:c>
      <x:c r="G21" s="121"/>
      <x:c r="H21" s="121"/>
      <x:c r="I21" s="189" t="b">
        <x:v>1</x:v>
      </x:c>
    </x:row>
    <x:row r="22">
      <x:c r="A22" s="121" t="str">
        <x:v>CPU</x:v>
      </x:c>
      <x:c r="B22" s="121" t="str">
        <x:v>socket</x:v>
      </x:c>
      <x:c r="C22" s="121" t="str">
        <x:v>specs.socket</x:v>
      </x:c>
      <x:c r="D22" s="121" t="str">
        <x:v>string</x:v>
      </x:c>
      <x:c r="E22" s="189" t="b">
        <x:v>1</x:v>
      </x:c>
      <x:c r="F22" s="121" t="str">
        <x:v>CPUソケット</x:v>
      </x:c>
      <x:c r="G22" s="121"/>
      <x:c r="H22" s="121" t="str">
        <x:v>Socket</x:v>
      </x:c>
      <x:c r="I22" s="189" t="b">
        <x:v>1</x:v>
      </x:c>
    </x:row>
    <x:row r="23">
      <x:c r="A23" s="121" t="str">
        <x:v>CPU</x:v>
      </x:c>
      <x:c r="B23" s="121" t="str">
        <x:v>cores</x:v>
      </x:c>
      <x:c r="C23" s="121" t="str">
        <x:v>specs.cores</x:v>
      </x:c>
      <x:c r="D23" s="121" t="str">
        <x:v>integer</x:v>
      </x:c>
      <x:c r="E23" s="189" t="b">
        <x:v>0</x:v>
      </x:c>
      <x:c r="F23" s="121" t="str">
        <x:v>物理コア数</x:v>
      </x:c>
      <x:c r="G23" s="121" t="str">
        <x:v>cores</x:v>
      </x:c>
      <x:c r="H23" s="121"/>
      <x:c r="I23" s="189" t="b">
        <x:v>1</x:v>
      </x:c>
    </x:row>
    <x:row r="24">
      <x:c r="A24" s="121" t="str">
        <x:v>CPU</x:v>
      </x:c>
      <x:c r="B24" s="121" t="str">
        <x:v>threads</x:v>
      </x:c>
      <x:c r="C24" s="121" t="str">
        <x:v>specs.threads</x:v>
      </x:c>
      <x:c r="D24" s="121" t="str">
        <x:v>integer</x:v>
      </x:c>
      <x:c r="E24" s="189" t="b">
        <x:v>0</x:v>
      </x:c>
      <x:c r="F24" s="121" t="str">
        <x:v>スレッド数</x:v>
      </x:c>
      <x:c r="G24" s="121" t="str">
        <x:v>threads</x:v>
      </x:c>
      <x:c r="H24" s="121"/>
      <x:c r="I24" s="189" t="b">
        <x:v>1</x:v>
      </x:c>
    </x:row>
    <x:row r="25">
      <x:c r="A25" s="121" t="str">
        <x:v>CPU</x:v>
      </x:c>
      <x:c r="B25" s="121" t="str">
        <x:v>architecture</x:v>
      </x:c>
      <x:c r="C25" s="121" t="str">
        <x:v>specs.architecture</x:v>
      </x:c>
      <x:c r="D25" s="121" t="str">
        <x:v>string</x:v>
      </x:c>
      <x:c r="E25" s="189" t="b">
        <x:v>0</x:v>
      </x:c>
      <x:c r="F25" s="121" t="str">
        <x:v>CPUアーキテクチャ</x:v>
      </x:c>
      <x:c r="G25" s="121"/>
      <x:c r="H25" s="121"/>
      <x:c r="I25" s="189" t="b">
        <x:v>1</x:v>
      </x:c>
    </x:row>
    <x:row r="26">
      <x:c r="A26" s="121" t="str">
        <x:v>CPU</x:v>
      </x:c>
      <x:c r="B26" s="121" t="str">
        <x:v>boost_clock_ghz</x:v>
      </x:c>
      <x:c r="C26" s="121" t="str">
        <x:v>specs.boost_clock_ghz</x:v>
      </x:c>
      <x:c r="D26" s="121" t="str">
        <x:v>number</x:v>
      </x:c>
      <x:c r="E26" s="189" t="b">
        <x:v>0</x:v>
      </x:c>
      <x:c r="F26" s="121" t="str">
        <x:v>最大ブーストクロック</x:v>
      </x:c>
      <x:c r="G26" s="121" t="str">
        <x:v>GHz</x:v>
      </x:c>
      <x:c r="H26" s="121"/>
      <x:c r="I26" s="189" t="b">
        <x:v>1</x:v>
      </x:c>
    </x:row>
    <x:row r="27">
      <x:c r="A27" s="121" t="str">
        <x:v>CPU</x:v>
      </x:c>
      <x:c r="B27" s="121" t="str">
        <x:v>tdp_w</x:v>
      </x:c>
      <x:c r="C27" s="121" t="str">
        <x:v>specs.tdp_w</x:v>
      </x:c>
      <x:c r="D27" s="121" t="str">
        <x:v>number</x:v>
      </x:c>
      <x:c r="E27" s="189" t="b">
        <x:v>0</x:v>
      </x:c>
      <x:c r="F27" s="121" t="str">
        <x:v>公称TDP</x:v>
      </x:c>
      <x:c r="G27" s="121" t="str">
        <x:v>W</x:v>
      </x:c>
      <x:c r="H27" s="121"/>
      <x:c r="I27" s="189" t="b">
        <x:v>1</x:v>
      </x:c>
    </x:row>
    <x:row r="28">
      <x:c r="A28" s="121" t="str">
        <x:v>CPU</x:v>
      </x:c>
      <x:c r="B28" s="121" t="str">
        <x:v>retail_package</x:v>
      </x:c>
      <x:c r="C28" s="121" t="str">
        <x:v>specs.retail_package</x:v>
      </x:c>
      <x:c r="D28" s="121" t="str">
        <x:v>boolean</x:v>
      </x:c>
      <x:c r="E28" s="189" t="b">
        <x:v>0</x:v>
      </x:c>
      <x:c r="F28" s="121" t="str">
        <x:v>国内リテールパッケージ</x:v>
      </x:c>
      <x:c r="G28" s="121"/>
      <x:c r="H28" s="121" t="str">
        <x:v>Boolean</x:v>
      </x:c>
      <x:c r="I28" s="189" t="b">
        <x:v>1</x:v>
      </x:c>
    </x:row>
    <x:row r="29">
      <x:c r="A29" s="121" t="str">
        <x:v>CPU</x:v>
      </x:c>
      <x:c r="B29" s="121" t="str">
        <x:v>cache_specialized_for_gaming</x:v>
      </x:c>
      <x:c r="C29" s="121" t="str">
        <x:v>specs.cache_specialized_for_gaming</x:v>
      </x:c>
      <x:c r="D29" s="121" t="str">
        <x:v>boolean</x:v>
      </x:c>
      <x:c r="E29" s="189" t="b">
        <x:v>0</x:v>
      </x:c>
      <x:c r="F29" s="121" t="str">
        <x:v>ゲーム向け大容量キャッシュ</x:v>
      </x:c>
      <x:c r="G29" s="121"/>
      <x:c r="H29" s="121" t="str">
        <x:v>Boolean</x:v>
      </x:c>
      <x:c r="I29" s="189" t="b">
        <x:v>1</x:v>
      </x:c>
    </x:row>
    <x:row r="30">
      <x:c r="A30" s="121" t="str">
        <x:v>CPU</x:v>
      </x:c>
      <x:c r="B30" s="121" t="str">
        <x:v>integrated_graphics</x:v>
      </x:c>
      <x:c r="C30" s="121" t="str">
        <x:v>specs.integrated_graphics</x:v>
      </x:c>
      <x:c r="D30" s="121" t="str">
        <x:v>boolean</x:v>
      </x:c>
      <x:c r="E30" s="189" t="b">
        <x:v>0</x:v>
      </x:c>
      <x:c r="F30" s="121" t="str">
        <x:v>内蔵GPU</x:v>
      </x:c>
      <x:c r="G30" s="121"/>
      <x:c r="H30" s="121" t="str">
        <x:v>Boolean</x:v>
      </x:c>
      <x:c r="I30" s="189" t="b">
        <x:v>1</x:v>
      </x:c>
    </x:row>
    <x:row r="31">
      <x:c r="A31" s="121" t="str">
        <x:v>CPU</x:v>
      </x:c>
      <x:c r="B31" s="121" t="str">
        <x:v>cooling_requirement_class</x:v>
      </x:c>
      <x:c r="C31" s="121" t="str">
        <x:v>specs.cooling_requirement_class</x:v>
      </x:c>
      <x:c r="D31" s="121" t="str">
        <x:v>string</x:v>
      </x:c>
      <x:c r="E31" s="189" t="b">
        <x:v>0</x:v>
      </x:c>
      <x:c r="F31" s="121" t="str">
        <x:v>冷却要求クラス</x:v>
      </x:c>
      <x:c r="G31" s="121"/>
      <x:c r="H31" s="121" t="str">
        <x:v>CoolingClass</x:v>
      </x:c>
      <x:c r="I31" s="189" t="b">
        <x:v>1</x:v>
      </x:c>
    </x:row>
    <x:row r="32">
      <x:c r="A32" s="121" t="str">
        <x:v>CPU</x:v>
      </x:c>
      <x:c r="B32" s="121" t="str">
        <x:v>platform_support_years_remaining</x:v>
      </x:c>
      <x:c r="C32" s="121" t="str">
        <x:v>specs.platform_support_years_remaining</x:v>
      </x:c>
      <x:c r="D32" s="121" t="str">
        <x:v>number</x:v>
      </x:c>
      <x:c r="E32" s="189" t="b">
        <x:v>0</x:v>
      </x:c>
      <x:c r="F32" s="121" t="str">
        <x:v>想定プラットフォーム更新余地</x:v>
      </x:c>
      <x:c r="G32" s="121" t="str">
        <x:v>years</x:v>
      </x:c>
      <x:c r="H32" s="121"/>
      <x:c r="I32" s="189" t="b">
        <x:v>1</x:v>
      </x:c>
    </x:row>
    <x:row r="33">
      <x:c r="A33" s="121" t="str">
        <x:v>CPU</x:v>
      </x:c>
      <x:c r="B33" s="121" t="str">
        <x:v>warranty_years</x:v>
      </x:c>
      <x:c r="C33" s="121" t="str">
        <x:v>specs.warranty_years</x:v>
      </x:c>
      <x:c r="D33" s="121" t="str">
        <x:v>number</x:v>
      </x:c>
      <x:c r="E33" s="189" t="b">
        <x:v>0</x:v>
      </x:c>
      <x:c r="F33" s="121" t="str">
        <x:v>国内保証期間</x:v>
      </x:c>
      <x:c r="G33" s="121" t="str">
        <x:v>years</x:v>
      </x:c>
      <x:c r="H33" s="121"/>
      <x:c r="I33" s="189" t="b">
        <x:v>1</x:v>
      </x:c>
    </x:row>
    <x:row r="34">
      <x:c r="A34" s="121" t="str">
        <x:v>GPU</x:v>
      </x:c>
      <x:c r="B34" s="121" t="str">
        <x:v>product_id</x:v>
      </x:c>
      <x:c r="C34" s="121" t="str">
        <x:v>id</x:v>
      </x:c>
      <x:c r="D34" s="121" t="str">
        <x:v>string</x:v>
      </x:c>
      <x:c r="E34" s="189" t="b">
        <x:v>1</x:v>
      </x:c>
      <x:c r="F34" s="121" t="str">
        <x:v>変更しない製品ID。英小文字・数字・ハイフン推奨</x:v>
      </x:c>
      <x:c r="G34" s="121"/>
      <x:c r="H34" s="121"/>
      <x:c r="I34" s="189" t="b">
        <x:v>1</x:v>
      </x:c>
    </x:row>
    <x:row r="35">
      <x:c r="A35" s="121" t="str">
        <x:v>GPU</x:v>
      </x:c>
      <x:c r="B35" s="121" t="str">
        <x:v>brand</x:v>
      </x:c>
      <x:c r="C35" s="121" t="str">
        <x:v>brand</x:v>
      </x:c>
      <x:c r="D35" s="121" t="str">
        <x:v>string</x:v>
      </x:c>
      <x:c r="E35" s="189" t="b">
        <x:v>1</x:v>
      </x:c>
      <x:c r="F35" s="121" t="str">
        <x:v>メーカー／ブランド</x:v>
      </x:c>
      <x:c r="G35" s="121"/>
      <x:c r="H35" s="121"/>
      <x:c r="I35" s="189" t="b">
        <x:v>1</x:v>
      </x:c>
    </x:row>
    <x:row r="36">
      <x:c r="A36" s="121" t="str">
        <x:v>GPU</x:v>
      </x:c>
      <x:c r="B36" s="121" t="str">
        <x:v>model</x:v>
      </x:c>
      <x:c r="C36" s="121" t="str">
        <x:v>model</x:v>
      </x:c>
      <x:c r="D36" s="121" t="str">
        <x:v>string</x:v>
      </x:c>
      <x:c r="E36" s="189" t="b">
        <x:v>1</x:v>
      </x:c>
      <x:c r="F36" s="121" t="str">
        <x:v>容量や仕様を特定できる正式型番</x:v>
      </x:c>
      <x:c r="G36" s="121"/>
      <x:c r="H36" s="121"/>
      <x:c r="I36" s="189" t="b">
        <x:v>1</x:v>
      </x:c>
    </x:row>
    <x:row r="37">
      <x:c r="A37" s="121" t="str">
        <x:v>GPU</x:v>
      </x:c>
      <x:c r="B37" s="121" t="str">
        <x:v>display_name</x:v>
      </x:c>
      <x:c r="C37" s="121" t="str">
        <x:v>display_name</x:v>
      </x:c>
      <x:c r="D37" s="121" t="str">
        <x:v>string</x:v>
      </x:c>
      <x:c r="E37" s="189" t="b">
        <x:v>0</x:v>
      </x:c>
      <x:c r="F37" s="121" t="str">
        <x:v>人間向け表示名</x:v>
      </x:c>
      <x:c r="G37" s="121"/>
      <x:c r="H37" s="121"/>
      <x:c r="I37" s="189" t="b">
        <x:v>1</x:v>
      </x:c>
    </x:row>
    <x:row r="38">
      <x:c r="A38" s="121" t="str">
        <x:v>GPU</x:v>
      </x:c>
      <x:c r="B38" s="121" t="str">
        <x:v>primary_asin</x:v>
      </x:c>
      <x:c r="C38" s="121" t="str">
        <x:v>identifiers.asins</x:v>
      </x:c>
      <x:c r="D38" s="121" t="str">
        <x:v>string_list</x:v>
      </x:c>
      <x:c r="E38" s="189" t="b">
        <x:v>0</x:v>
      </x:c>
      <x:c r="F38" s="121" t="str">
        <x:v>主要ASIN。複数なら改行区切り</x:v>
      </x:c>
      <x:c r="G38" s="121"/>
      <x:c r="H38" s="121"/>
      <x:c r="I38" s="189" t="b">
        <x:v>1</x:v>
      </x:c>
    </x:row>
    <x:row r="39">
      <x:c r="A39" s="121" t="str">
        <x:v>GPU</x:v>
      </x:c>
      <x:c r="B39" s="121" t="str">
        <x:v>primary_jan</x:v>
      </x:c>
      <x:c r="C39" s="121" t="str">
        <x:v>identifiers.jan</x:v>
      </x:c>
      <x:c r="D39" s="121" t="str">
        <x:v>string_list</x:v>
      </x:c>
      <x:c r="E39" s="189" t="b">
        <x:v>0</x:v>
      </x:c>
      <x:c r="F39" s="121" t="str">
        <x:v>主要JAN。文字列として入力</x:v>
      </x:c>
      <x:c r="G39" s="121"/>
      <x:c r="H39" s="121"/>
      <x:c r="I39" s="189" t="b">
        <x:v>1</x:v>
      </x:c>
    </x:row>
    <x:row r="40">
      <x:c r="A40" s="121" t="str">
        <x:v>GPU</x:v>
      </x:c>
      <x:c r="B40" s="121" t="str">
        <x:v>part_number</x:v>
      </x:c>
      <x:c r="C40" s="121" t="str">
        <x:v>identifiers.part_numbers</x:v>
      </x:c>
      <x:c r="D40" s="121" t="str">
        <x:v>string_list</x:v>
      </x:c>
      <x:c r="E40" s="189" t="b">
        <x:v>0</x:v>
      </x:c>
      <x:c r="F40" s="121" t="str">
        <x:v>メーカー部品番号</x:v>
      </x:c>
      <x:c r="G40" s="121"/>
      <x:c r="H40" s="121"/>
      <x:c r="I40" s="189" t="b">
        <x:v>1</x:v>
      </x:c>
    </x:row>
    <x:row r="41">
      <x:c r="A41" s="121" t="str">
        <x:v>GPU</x:v>
      </x:c>
      <x:c r="B41" s="121" t="str">
        <x:v>kakaku_product_id</x:v>
      </x:c>
      <x:c r="C41" s="121" t="str">
        <x:v>identifiers.kakaku_ids</x:v>
      </x:c>
      <x:c r="D41" s="121" t="str">
        <x:v>string_list</x:v>
      </x:c>
      <x:c r="E41" s="189" t="b">
        <x:v>0</x:v>
      </x:c>
      <x:c r="F41" s="121" t="str">
        <x:v>価格.com製品ID</x:v>
      </x:c>
      <x:c r="G41" s="121"/>
      <x:c r="H41" s="121"/>
      <x:c r="I41" s="189" t="b">
        <x:v>1</x:v>
      </x:c>
    </x:row>
    <x:row r="42">
      <x:c r="A42" s="121" t="str">
        <x:v>GPU</x:v>
      </x:c>
      <x:c r="B42" s="121" t="str">
        <x:v>aliases</x:v>
      </x:c>
      <x:c r="C42" s="121" t="str">
        <x:v>aliases</x:v>
      </x:c>
      <x:c r="D42" s="121" t="str">
        <x:v>string_list</x:v>
      </x:c>
      <x:c r="E42" s="189" t="b">
        <x:v>0</x:v>
      </x:c>
      <x:c r="F42" s="121" t="str">
        <x:v>別名・略称。1件1行</x:v>
      </x:c>
      <x:c r="G42" s="121"/>
      <x:c r="H42" s="121"/>
      <x:c r="I42" s="189" t="b">
        <x:v>1</x:v>
      </x:c>
    </x:row>
    <x:row r="43">
      <x:c r="A43" s="121" t="str">
        <x:v>GPU</x:v>
      </x:c>
      <x:c r="B43" s="121" t="str">
        <x:v>status</x:v>
      </x:c>
      <x:c r="C43" s="121" t="str">
        <x:v>quality.status</x:v>
      </x:c>
      <x:c r="D43" s="121" t="str">
        <x:v>string</x:v>
      </x:c>
      <x:c r="E43" s="189" t="b">
        <x:v>1</x:v>
      </x:c>
      <x:c r="F43" s="121" t="str">
        <x:v>品質評価状態</x:v>
      </x:c>
      <x:c r="G43" s="121"/>
      <x:c r="H43" s="121" t="str">
        <x:v>QualityStatus</x:v>
      </x:c>
      <x:c r="I43" s="189" t="b">
        <x:v>1</x:v>
      </x:c>
    </x:row>
    <x:row r="44">
      <x:c r="A44" s="121" t="str">
        <x:v>GPU</x:v>
      </x:c>
      <x:c r="B44" s="121" t="str">
        <x:v>tier</x:v>
      </x:c>
      <x:c r="C44" s="121" t="str">
        <x:v>quality.tier</x:v>
      </x:c>
      <x:c r="D44" s="121" t="str">
        <x:v>string</x:v>
      </x:c>
      <x:c r="E44" s="189" t="b">
        <x:v>1</x:v>
      </x:c>
      <x:c r="F44" s="121" t="str">
        <x:v>品質Tier</x:v>
      </x:c>
      <x:c r="G44" s="121"/>
      <x:c r="H44" s="121" t="str">
        <x:v>Tier</x:v>
      </x:c>
      <x:c r="I44" s="189" t="b">
        <x:v>1</x:v>
      </x:c>
    </x:row>
    <x:row r="45">
      <x:c r="A45" s="121" t="str">
        <x:v>GPU</x:v>
      </x:c>
      <x:c r="B45" s="121" t="str">
        <x:v>reviewed_at</x:v>
      </x:c>
      <x:c r="C45" s="121" t="str">
        <x:v>quality.reviewed_at</x:v>
      </x:c>
      <x:c r="D45" s="121" t="str">
        <x:v>date</x:v>
      </x:c>
      <x:c r="E45" s="189" t="b">
        <x:v>0</x:v>
      </x:c>
      <x:c r="F45" s="121" t="str">
        <x:v>品質評価日</x:v>
      </x:c>
      <x:c r="G45" s="121"/>
      <x:c r="H45" s="121"/>
      <x:c r="I45" s="189" t="b">
        <x:v>1</x:v>
      </x:c>
    </x:row>
    <x:row r="46">
      <x:c r="A46" s="121" t="str">
        <x:v>GPU</x:v>
      </x:c>
      <x:c r="B46" s="121" t="str">
        <x:v>quality_summary</x:v>
      </x:c>
      <x:c r="C46" s="121" t="str">
        <x:v>quality.summary</x:v>
      </x:c>
      <x:c r="D46" s="121" t="str">
        <x:v>string</x:v>
      </x:c>
      <x:c r="E46" s="189" t="b">
        <x:v>0</x:v>
      </x:c>
      <x:c r="F46" s="121" t="str">
        <x:v>総合評価の要約</x:v>
      </x:c>
      <x:c r="G46" s="121"/>
      <x:c r="H46" s="121"/>
      <x:c r="I46" s="189" t="b">
        <x:v>1</x:v>
      </x:c>
    </x:row>
    <x:row r="47">
      <x:c r="A47" s="121" t="str">
        <x:v>GPU</x:v>
      </x:c>
      <x:c r="B47" s="121" t="str">
        <x:v>strengths</x:v>
      </x:c>
      <x:c r="C47" s="121" t="str">
        <x:v>quality.strengths</x:v>
      </x:c>
      <x:c r="D47" s="121" t="str">
        <x:v>string_list</x:v>
      </x:c>
      <x:c r="E47" s="189" t="b">
        <x:v>0</x:v>
      </x:c>
      <x:c r="F47" s="121" t="str">
        <x:v>長所。1件1行</x:v>
      </x:c>
      <x:c r="G47" s="121"/>
      <x:c r="H47" s="121"/>
      <x:c r="I47" s="189" t="b">
        <x:v>1</x:v>
      </x:c>
    </x:row>
    <x:row r="48">
      <x:c r="A48" s="121" t="str">
        <x:v>GPU</x:v>
      </x:c>
      <x:c r="B48" s="121" t="str">
        <x:v>weaknesses</x:v>
      </x:c>
      <x:c r="C48" s="121" t="str">
        <x:v>quality.weaknesses</x:v>
      </x:c>
      <x:c r="D48" s="121" t="str">
        <x:v>string_list</x:v>
      </x:c>
      <x:c r="E48" s="189" t="b">
        <x:v>0</x:v>
      </x:c>
      <x:c r="F48" s="121" t="str">
        <x:v>短所。1件1行</x:v>
      </x:c>
      <x:c r="G48" s="121"/>
      <x:c r="H48" s="121"/>
      <x:c r="I48" s="189" t="b">
        <x:v>1</x:v>
      </x:c>
    </x:row>
    <x:row r="49">
      <x:c r="A49" s="121" t="str">
        <x:v>GPU</x:v>
      </x:c>
      <x:c r="B49" s="121" t="str">
        <x:v>risk_summary</x:v>
      </x:c>
      <x:c r="C49" s="121" t="str">
        <x:v>quality.risk_summary</x:v>
      </x:c>
      <x:c r="D49" s="121" t="str">
        <x:v>string</x:v>
      </x:c>
      <x:c r="E49" s="189" t="b">
        <x:v>0</x:v>
      </x:c>
      <x:c r="F49" s="121" t="str">
        <x:v>現在の主要リスク要約</x:v>
      </x:c>
      <x:c r="G49" s="121"/>
      <x:c r="H49" s="121"/>
      <x:c r="I49" s="189" t="b">
        <x:v>1</x:v>
      </x:c>
    </x:row>
    <x:row r="50">
      <x:c r="A50" s="121" t="str">
        <x:v>GPU</x:v>
      </x:c>
      <x:c r="B50" s="121" t="str">
        <x:v>notes</x:v>
      </x:c>
      <x:c r="C50" s="121" t="str">
        <x:v>notes</x:v>
      </x:c>
      <x:c r="D50" s="121" t="str">
        <x:v>string_list</x:v>
      </x:c>
      <x:c r="E50" s="189" t="b">
        <x:v>0</x:v>
      </x:c>
      <x:c r="F50" s="121" t="str">
        <x:v>補足。1件1行</x:v>
      </x:c>
      <x:c r="G50" s="121"/>
      <x:c r="H50" s="121"/>
      <x:c r="I50" s="189" t="b">
        <x:v>1</x:v>
      </x:c>
    </x:row>
    <x:row r="51">
      <x:c r="A51" s="121" t="str">
        <x:v>GPU</x:v>
      </x:c>
      <x:c r="B51" s="121" t="str">
        <x:v>gpu_chip_id</x:v>
      </x:c>
      <x:c r="C51" s="121" t="str">
        <x:v>specs.gpu_chip_id</x:v>
      </x:c>
      <x:c r="D51" s="121" t="str">
        <x:v>string</x:v>
      </x:c>
      <x:c r="E51" s="189" t="b">
        <x:v>1</x:v>
      </x:c>
      <x:c r="F51" s="121" t="str">
        <x:v>GPUChipsのproduct_id。性能・VRAMはこの参照から生成JSONへ継承</x:v>
      </x:c>
      <x:c r="G51" s="121"/>
      <x:c r="H51" s="121"/>
      <x:c r="I51" s="189" t="b">
        <x:v>1</x:v>
      </x:c>
    </x:row>
    <x:row r="52">
      <x:c r="A52" s="121" t="str">
        <x:v>GPU</x:v>
      </x:c>
      <x:c r="B52" s="121" t="str">
        <x:v>board_series</x:v>
      </x:c>
      <x:c r="C52" s="121" t="str">
        <x:v>specs.board_series</x:v>
      </x:c>
      <x:c r="D52" s="121" t="str">
        <x:v>string</x:v>
      </x:c>
      <x:c r="E52" s="189" t="b">
        <x:v>0</x:v>
      </x:c>
      <x:c r="F52" s="121" t="str">
        <x:v>ボードメーカーのシリーズ名（TUF、VENTUS、PULSEなど）</x:v>
      </x:c>
      <x:c r="G52" s="121"/>
      <x:c r="H52" s="121"/>
      <x:c r="I52" s="189" t="b">
        <x:v>1</x:v>
      </x:c>
    </x:row>
    <x:row r="53">
      <x:c r="A53" s="121" t="str">
        <x:v>GPU</x:v>
      </x:c>
      <x:c r="B53" s="121" t="str">
        <x:v>board_model</x:v>
      </x:c>
      <x:c r="C53" s="121" t="str">
        <x:v>specs.board_model</x:v>
      </x:c>
      <x:c r="D53" s="121" t="str">
        <x:v>string</x:v>
      </x:c>
      <x:c r="E53" s="189" t="b">
        <x:v>0</x:v>
      </x:c>
      <x:c r="F53" s="121" t="str">
        <x:v>シリーズ内の製品名・クーラー構成名</x:v>
      </x:c>
      <x:c r="G53" s="121"/>
      <x:c r="H53" s="121"/>
      <x:c r="I53" s="189" t="b">
        <x:v>1</x:v>
      </x:c>
    </x:row>
    <x:row r="54">
      <x:c r="A54" s="121" t="str">
        <x:v>GPU</x:v>
      </x:c>
      <x:c r="B54" s="121" t="str">
        <x:v>revision</x:v>
      </x:c>
      <x:c r="C54" s="121" t="str">
        <x:v>specs.revision</x:v>
      </x:c>
      <x:c r="D54" s="121" t="str">
        <x:v>string</x:v>
      </x:c>
      <x:c r="E54" s="189" t="b">
        <x:v>0</x:v>
      </x:c>
      <x:c r="F54" s="121" t="str">
        <x:v>基板・製品リビジョン（Rev. 1.0、V2など）</x:v>
      </x:c>
      <x:c r="G54" s="121"/>
      <x:c r="H54" s="121"/>
      <x:c r="I54" s="189" t="b">
        <x:v>1</x:v>
      </x:c>
    </x:row>
    <x:row r="55">
      <x:c r="A55" s="121" t="str">
        <x:v>GPU</x:v>
      </x:c>
      <x:c r="B55" s="121" t="str">
        <x:v>cooler_design_id</x:v>
      </x:c>
      <x:c r="C55" s="121" t="str">
        <x:v>specs.cooler_design_id</x:v>
      </x:c>
      <x:c r="D55" s="121" t="str">
        <x:v>string</x:v>
      </x:c>
      <x:c r="E55" s="189" t="b">
        <x:v>0</x:v>
      </x:c>
      <x:c r="F55" s="121" t="str">
        <x:v>同一クーラー設計を追跡する任意ID</x:v>
      </x:c>
      <x:c r="G55" s="121"/>
      <x:c r="H55" s="121"/>
      <x:c r="I55" s="189" t="b">
        <x:v>1</x:v>
      </x:c>
    </x:row>
    <x:row r="56">
      <x:c r="A56" s="121" t="str">
        <x:v>GPU</x:v>
      </x:c>
      <x:c r="B56" s="121" t="str">
        <x:v>factory_oc</x:v>
      </x:c>
      <x:c r="C56" s="121" t="str">
        <x:v>specs.factory_oc</x:v>
      </x:c>
      <x:c r="D56" s="121" t="str">
        <x:v>boolean</x:v>
      </x:c>
      <x:c r="E56" s="189" t="b">
        <x:v>0</x:v>
      </x:c>
      <x:c r="F56" s="121" t="str">
        <x:v>メーカー出荷時OCモデル</x:v>
      </x:c>
      <x:c r="G56" s="121"/>
      <x:c r="H56" s="121"/>
      <x:c r="I56" s="189" t="b">
        <x:v>1</x:v>
      </x:c>
    </x:row>
    <x:row r="57">
      <x:c r="A57" s="121" t="str">
        <x:v>GPU</x:v>
      </x:c>
      <x:c r="B57" s="121" t="str">
        <x:v>reference_design</x:v>
      </x:c>
      <x:c r="C57" s="121" t="str">
        <x:v>specs.reference_design</x:v>
      </x:c>
      <x:c r="D57" s="121" t="str">
        <x:v>boolean</x:v>
      </x:c>
      <x:c r="E57" s="189" t="b">
        <x:v>0</x:v>
      </x:c>
      <x:c r="F57" s="121" t="str">
        <x:v>リファレンス基板・Founders Edition相当</x:v>
      </x:c>
      <x:c r="G57" s="121"/>
      <x:c r="H57" s="121"/>
      <x:c r="I57" s="189" t="b">
        <x:v>1</x:v>
      </x:c>
    </x:row>
    <x:row r="58">
      <x:c r="A58" s="121" t="str">
        <x:v>GPU</x:v>
      </x:c>
      <x:c r="B58" s="121" t="str">
        <x:v>domestic_distributor</x:v>
      </x:c>
      <x:c r="C58" s="121" t="str">
        <x:v>specs.domestic_distributor</x:v>
      </x:c>
      <x:c r="D58" s="121" t="str">
        <x:v>string</x:v>
      </x:c>
      <x:c r="E58" s="189" t="b">
        <x:v>0</x:v>
      </x:c>
      <x:c r="F58" s="121" t="str">
        <x:v>国内代理店・保証窓口</x:v>
      </x:c>
      <x:c r="G58" s="121"/>
      <x:c r="H58" s="121"/>
      <x:c r="I58" s="189" t="b">
        <x:v>1</x:v>
      </x:c>
    </x:row>
    <x:row r="59">
      <x:c r="A59" s="121" t="str">
        <x:v>GPU</x:v>
      </x:c>
      <x:c r="B59" s="121" t="str">
        <x:v>domestic_warranty_years</x:v>
      </x:c>
      <x:c r="C59" s="121" t="str">
        <x:v>specs.domestic_warranty_years</x:v>
      </x:c>
      <x:c r="D59" s="121" t="str">
        <x:v>number</x:v>
      </x:c>
      <x:c r="E59" s="189" t="b">
        <x:v>0</x:v>
      </x:c>
      <x:c r="F59" s="121" t="str">
        <x:v>国内保証期間</x:v>
      </x:c>
      <x:c r="G59" s="121" t="str">
        <x:v>years</x:v>
      </x:c>
      <x:c r="H59" s="121"/>
      <x:c r="I59" s="189" t="b">
        <x:v>1</x:v>
      </x:c>
    </x:row>
    <x:row r="60">
      <x:c r="A60" s="121" t="str">
        <x:v>GPU</x:v>
      </x:c>
      <x:c r="B60" s="121" t="str">
        <x:v>cooler_noise_class</x:v>
      </x:c>
      <x:c r="C60" s="121" t="str">
        <x:v>specs.cooler_noise_class</x:v>
      </x:c>
      <x:c r="D60" s="121" t="str">
        <x:v>string</x:v>
      </x:c>
      <x:c r="E60" s="189" t="b">
        <x:v>0</x:v>
      </x:c>
      <x:c r="F60" s="121" t="str">
        <x:v>実測レビューに基づく騒音クラス</x:v>
      </x:c>
      <x:c r="G60" s="121"/>
      <x:c r="H60" s="121"/>
      <x:c r="I60" s="189" t="b">
        <x:v>1</x:v>
      </x:c>
    </x:row>
    <x:row r="61">
      <x:c r="A61" s="121" t="str">
        <x:v>GPU</x:v>
      </x:c>
      <x:c r="B61" s="121" t="str">
        <x:v>fan_count</x:v>
      </x:c>
      <x:c r="C61" s="121" t="str">
        <x:v>specs.fan_count</x:v>
      </x:c>
      <x:c r="D61" s="121" t="str">
        <x:v>integer</x:v>
      </x:c>
      <x:c r="E61" s="189" t="b">
        <x:v>0</x:v>
      </x:c>
      <x:c r="F61" s="121" t="str">
        <x:v>搭載ファン数</x:v>
      </x:c>
      <x:c r="G61" s="121" t="str">
        <x:v>fans</x:v>
      </x:c>
      <x:c r="H61" s="121"/>
      <x:c r="I61" s="189" t="b">
        <x:v>1</x:v>
      </x:c>
    </x:row>
    <x:row r="62">
      <x:c r="A62" s="121" t="str">
        <x:v>GPU</x:v>
      </x:c>
      <x:c r="B62" s="121" t="str">
        <x:v>slot_width</x:v>
      </x:c>
      <x:c r="C62" s="121" t="str">
        <x:v>specs.slot_width</x:v>
      </x:c>
      <x:c r="D62" s="121" t="str">
        <x:v>number</x:v>
      </x:c>
      <x:c r="E62" s="189" t="b">
        <x:v>0</x:v>
      </x:c>
      <x:c r="F62" s="121" t="str">
        <x:v>占有スロット幅</x:v>
      </x:c>
      <x:c r="G62" s="121" t="str">
        <x:v>slots</x:v>
      </x:c>
      <x:c r="H62" s="121"/>
      <x:c r="I62" s="189" t="b">
        <x:v>1</x:v>
      </x:c>
    </x:row>
    <x:row r="63">
      <x:c r="A63" s="121" t="str">
        <x:v>GPU</x:v>
      </x:c>
      <x:c r="B63" s="121" t="str">
        <x:v>power_connector_standard</x:v>
      </x:c>
      <x:c r="C63" s="121" t="str">
        <x:v>specs.power_connector_standard</x:v>
      </x:c>
      <x:c r="D63" s="121" t="str">
        <x:v>string</x:v>
      </x:c>
      <x:c r="E63" s="189" t="b">
        <x:v>0</x:v>
      </x:c>
      <x:c r="F63" s="121" t="str">
        <x:v>補助電源端子構成</x:v>
      </x:c>
      <x:c r="G63" s="121"/>
      <x:c r="H63" s="121"/>
      <x:c r="I63" s="189" t="b">
        <x:v>1</x:v>
      </x:c>
    </x:row>
    <x:row r="64">
      <x:c r="A64" s="121" t="str">
        <x:v>GPU</x:v>
      </x:c>
      <x:c r="B64" s="121" t="str">
        <x:v>cooler_quality_tier</x:v>
      </x:c>
      <x:c r="C64" s="121" t="str">
        <x:v>specs.cooler_quality_tier</x:v>
      </x:c>
      <x:c r="D64" s="121" t="str">
        <x:v>string</x:v>
      </x:c>
      <x:c r="E64" s="189" t="b">
        <x:v>0</x:v>
      </x:c>
      <x:c r="F64" s="121" t="str">
        <x:v>冷却・騒音・温度をまとめた人間評価</x:v>
      </x:c>
      <x:c r="G64" s="121"/>
      <x:c r="H64" s="121"/>
      <x:c r="I64" s="189" t="b">
        <x:v>1</x:v>
      </x:c>
    </x:row>
    <x:row r="65">
      <x:c r="A65" s="121" t="str">
        <x:v>GPU</x:v>
      </x:c>
      <x:c r="B65" s="121" t="str">
        <x:v>length_mm</x:v>
      </x:c>
      <x:c r="C65" s="121" t="str">
        <x:v>specs.length_mm</x:v>
      </x:c>
      <x:c r="D65" s="121" t="str">
        <x:v>number</x:v>
      </x:c>
      <x:c r="E65" s="189" t="b">
        <x:v>0</x:v>
      </x:c>
      <x:c r="F65" s="121" t="str">
        <x:v>カード長</x:v>
      </x:c>
      <x:c r="G65" s="121" t="str">
        <x:v>mm</x:v>
      </x:c>
      <x:c r="H65" s="121"/>
      <x:c r="I65" s="189" t="b">
        <x:v>1</x:v>
      </x:c>
    </x:row>
    <x:row r="66">
      <x:c r="A66" s="121" t="str">
        <x:v>GPU</x:v>
      </x:c>
      <x:c r="B66" s="121" t="str">
        <x:v>tdp_w</x:v>
      </x:c>
      <x:c r="C66" s="121" t="str">
        <x:v>specs.tdp_w</x:v>
      </x:c>
      <x:c r="D66" s="121" t="str">
        <x:v>number</x:v>
      </x:c>
      <x:c r="E66" s="189" t="b">
        <x:v>0</x:v>
      </x:c>
      <x:c r="F66" s="121" t="str">
        <x:v>ボード製品の公称消費電力またはTBP</x:v>
      </x:c>
      <x:c r="G66" s="121" t="str">
        <x:v>W</x:v>
      </x:c>
      <x:c r="H66" s="121"/>
      <x:c r="I66" s="189" t="b">
        <x:v>1</x:v>
      </x:c>
    </x:row>
    <x:row r="67">
      <x:c r="A67" s="121" t="str">
        <x:v>GPU</x:v>
      </x:c>
      <x:c r="B67" s="121" t="str">
        <x:v>release_date</x:v>
      </x:c>
      <x:c r="C67" s="121" t="str">
        <x:v>specs.release_date</x:v>
      </x:c>
      <x:c r="D67" s="121" t="str">
        <x:v>date</x:v>
      </x:c>
      <x:c r="E67" s="189" t="b">
        <x:v>0</x:v>
      </x:c>
      <x:c r="F67" s="121" t="str">
        <x:v>ボード製品の一般販売開始日</x:v>
      </x:c>
      <x:c r="G67" s="121"/>
      <x:c r="H67" s="121"/>
      <x:c r="I67" s="189" t="b">
        <x:v>1</x:v>
      </x:c>
    </x:row>
    <x:row r="68">
      <x:c r="A68" s="121" t="str">
        <x:v>GPUChips</x:v>
      </x:c>
      <x:c r="B68" s="121" t="str">
        <x:v>product_id</x:v>
      </x:c>
      <x:c r="C68" s="121" t="str">
        <x:v>id</x:v>
      </x:c>
      <x:c r="D68" s="121" t="str">
        <x:v>string</x:v>
      </x:c>
      <x:c r="E68" s="189" t="b">
        <x:v>1</x:v>
      </x:c>
      <x:c r="F68" s="121" t="str">
        <x:v>変更しないGPUチップID</x:v>
      </x:c>
      <x:c r="G68" s="121"/>
      <x:c r="H68" s="121"/>
      <x:c r="I68" s="189" t="b">
        <x:v>1</x:v>
      </x:c>
    </x:row>
    <x:row r="69">
      <x:c r="A69" s="121" t="str">
        <x:v>GPUChips</x:v>
      </x:c>
      <x:c r="B69" s="121" t="str">
        <x:v>brand</x:v>
      </x:c>
      <x:c r="C69" s="121" t="str">
        <x:v>brand</x:v>
      </x:c>
      <x:c r="D69" s="121" t="str">
        <x:v>string</x:v>
      </x:c>
      <x:c r="E69" s="189" t="b">
        <x:v>1</x:v>
      </x:c>
      <x:c r="F69" s="121" t="str">
        <x:v>GPUベンダー（AMD/NVIDIA）</x:v>
      </x:c>
      <x:c r="G69" s="121"/>
      <x:c r="H69" s="121"/>
      <x:c r="I69" s="189" t="b">
        <x:v>1</x:v>
      </x:c>
    </x:row>
    <x:row r="70">
      <x:c r="A70" s="121" t="str">
        <x:v>GPUChips</x:v>
      </x:c>
      <x:c r="B70" s="121" t="str">
        <x:v>model</x:v>
      </x:c>
      <x:c r="C70" s="121" t="str">
        <x:v>model</x:v>
      </x:c>
      <x:c r="D70" s="121" t="str">
        <x:v>string</x:v>
      </x:c>
      <x:c r="E70" s="189" t="b">
        <x:v>1</x:v>
      </x:c>
      <x:c r="F70" s="121" t="str">
        <x:v>VRAM違いまで区別したGPUモデル</x:v>
      </x:c>
      <x:c r="G70" s="121"/>
      <x:c r="H70" s="121"/>
      <x:c r="I70" s="189" t="b">
        <x:v>1</x:v>
      </x:c>
    </x:row>
    <x:row r="71">
      <x:c r="A71" s="121" t="str">
        <x:v>GPUChips</x:v>
      </x:c>
      <x:c r="B71" s="121" t="str">
        <x:v>display_name</x:v>
      </x:c>
      <x:c r="C71" s="121" t="str">
        <x:v>display_name</x:v>
      </x:c>
      <x:c r="D71" s="121" t="str">
        <x:v>string</x:v>
      </x:c>
      <x:c r="E71" s="189" t="b">
        <x:v>0</x:v>
      </x:c>
      <x:c r="F71" s="121" t="str">
        <x:v>人間向け表示名</x:v>
      </x:c>
      <x:c r="G71" s="121"/>
      <x:c r="H71" s="121"/>
      <x:c r="I71" s="189" t="b">
        <x:v>1</x:v>
      </x:c>
    </x:row>
    <x:row r="72">
      <x:c r="A72" s="121" t="str">
        <x:v>GPUChips</x:v>
      </x:c>
      <x:c r="B72" s="121" t="str">
        <x:v>aliases</x:v>
      </x:c>
      <x:c r="C72" s="121" t="str">
        <x:v>aliases</x:v>
      </x:c>
      <x:c r="D72" s="121" t="str">
        <x:v>string_list</x:v>
      </x:c>
      <x:c r="E72" s="189" t="b">
        <x:v>0</x:v>
      </x:c>
      <x:c r="F72" s="121" t="str">
        <x:v>検索用別名。1件1行</x:v>
      </x:c>
      <x:c r="G72" s="121"/>
      <x:c r="H72" s="121"/>
      <x:c r="I72" s="189" t="b">
        <x:v>1</x:v>
      </x:c>
    </x:row>
    <x:row r="73">
      <x:c r="A73" s="121" t="str">
        <x:v>GPUChips</x:v>
      </x:c>
      <x:c r="B73" s="121" t="str">
        <x:v>status</x:v>
      </x:c>
      <x:c r="C73" s="121" t="str">
        <x:v>quality.status</x:v>
      </x:c>
      <x:c r="D73" s="121" t="str">
        <x:v>string</x:v>
      </x:c>
      <x:c r="E73" s="189" t="b">
        <x:v>1</x:v>
      </x:c>
      <x:c r="F73" s="121" t="str">
        <x:v>データ確認状態。ボード品質の承認状態ではない</x:v>
      </x:c>
      <x:c r="G73" s="121"/>
      <x:c r="H73" s="121" t="str">
        <x:v>QualityStatus</x:v>
      </x:c>
      <x:c r="I73" s="189" t="b">
        <x:v>1</x:v>
      </x:c>
    </x:row>
    <x:row r="74">
      <x:c r="A74" s="121" t="str">
        <x:v>GPUChips</x:v>
      </x:c>
      <x:c r="B74" s="121" t="str">
        <x:v>tier</x:v>
      </x:c>
      <x:c r="C74" s="121" t="str">
        <x:v>quality.tier</x:v>
      </x:c>
      <x:c r="D74" s="121" t="str">
        <x:v>string</x:v>
      </x:c>
      <x:c r="E74" s="189" t="b">
        <x:v>1</x:v>
      </x:c>
      <x:c r="F74" s="121" t="str">
        <x:v>データ品質Tier。ボード品質Tierではない</x:v>
      </x:c>
      <x:c r="G74" s="121"/>
      <x:c r="H74" s="121" t="str">
        <x:v>Tier</x:v>
      </x:c>
      <x:c r="I74" s="189" t="b">
        <x:v>1</x:v>
      </x:c>
    </x:row>
    <x:row r="75">
      <x:c r="A75" s="121" t="str">
        <x:v>GPUChips</x:v>
      </x:c>
      <x:c r="B75" s="121" t="str">
        <x:v>reviewed_at</x:v>
      </x:c>
      <x:c r="C75" s="121" t="str">
        <x:v>quality.reviewed_at</x:v>
      </x:c>
      <x:c r="D75" s="121" t="str">
        <x:v>date</x:v>
      </x:c>
      <x:c r="E75" s="189" t="b">
        <x:v>0</x:v>
      </x:c>
      <x:c r="F75" s="121" t="str">
        <x:v>最終確認日</x:v>
      </x:c>
      <x:c r="G75" s="121"/>
      <x:c r="H75" s="121"/>
      <x:c r="I75" s="189" t="b">
        <x:v>1</x:v>
      </x:c>
    </x:row>
    <x:row r="76">
      <x:c r="A76" s="121" t="str">
        <x:v>GPUChips</x:v>
      </x:c>
      <x:c r="B76" s="121" t="str">
        <x:v>quality_summary</x:v>
      </x:c>
      <x:c r="C76" s="121" t="str">
        <x:v>quality.summary</x:v>
      </x:c>
      <x:c r="D76" s="121" t="str">
        <x:v>string</x:v>
      </x:c>
      <x:c r="E76" s="189" t="b">
        <x:v>0</x:v>
      </x:c>
      <x:c r="F76" s="121" t="str">
        <x:v>用途と確認状態の要約</x:v>
      </x:c>
      <x:c r="G76" s="121"/>
      <x:c r="H76" s="121"/>
      <x:c r="I76" s="189" t="b">
        <x:v>1</x:v>
      </x:c>
    </x:row>
    <x:row r="77">
      <x:c r="A77" s="121" t="str">
        <x:v>GPUChips</x:v>
      </x:c>
      <x:c r="B77" s="121" t="str">
        <x:v>strengths</x:v>
      </x:c>
      <x:c r="C77" s="121" t="str">
        <x:v>quality.strengths</x:v>
      </x:c>
      <x:c r="D77" s="121" t="str">
        <x:v>string_list</x:v>
      </x:c>
      <x:c r="E77" s="189" t="b">
        <x:v>0</x:v>
      </x:c>
      <x:c r="F77" s="121" t="str">
        <x:v>性能上の特徴。1件1行</x:v>
      </x:c>
      <x:c r="G77" s="121"/>
      <x:c r="H77" s="121"/>
      <x:c r="I77" s="189" t="b">
        <x:v>1</x:v>
      </x:c>
    </x:row>
    <x:row r="78">
      <x:c r="A78" s="121" t="str">
        <x:v>GPUChips</x:v>
      </x:c>
      <x:c r="B78" s="121" t="str">
        <x:v>weaknesses</x:v>
      </x:c>
      <x:c r="C78" s="121" t="str">
        <x:v>quality.weaknesses</x:v>
      </x:c>
      <x:c r="D78" s="121" t="str">
        <x:v>string_list</x:v>
      </x:c>
      <x:c r="E78" s="189" t="b">
        <x:v>0</x:v>
      </x:c>
      <x:c r="F78" s="121" t="str">
        <x:v>性能上の弱点。1件1行</x:v>
      </x:c>
      <x:c r="G78" s="121"/>
      <x:c r="H78" s="121"/>
      <x:c r="I78" s="189" t="b">
        <x:v>1</x:v>
      </x:c>
    </x:row>
    <x:row r="79">
      <x:c r="A79" s="121" t="str">
        <x:v>GPUChips</x:v>
      </x:c>
      <x:c r="B79" s="121" t="str">
        <x:v>risk_summary</x:v>
      </x:c>
      <x:c r="C79" s="121" t="str">
        <x:v>quality.risk_summary</x:v>
      </x:c>
      <x:c r="D79" s="121" t="str">
        <x:v>string</x:v>
      </x:c>
      <x:c r="E79" s="189" t="b">
        <x:v>0</x:v>
      </x:c>
      <x:c r="F79" s="121" t="str">
        <x:v>ボード品質と混同しないための注意</x:v>
      </x:c>
      <x:c r="G79" s="121"/>
      <x:c r="H79" s="121"/>
      <x:c r="I79" s="189" t="b">
        <x:v>1</x:v>
      </x:c>
    </x:row>
    <x:row r="80">
      <x:c r="A80" s="121" t="str">
        <x:v>GPUChips</x:v>
      </x:c>
      <x:c r="B80" s="121" t="str">
        <x:v>notes</x:v>
      </x:c>
      <x:c r="C80" s="121" t="str">
        <x:v>notes</x:v>
      </x:c>
      <x:c r="D80" s="121" t="str">
        <x:v>string_list</x:v>
      </x:c>
      <x:c r="E80" s="189" t="b">
        <x:v>0</x:v>
      </x:c>
      <x:c r="F80" s="121" t="str">
        <x:v>運用メモ。1件1行</x:v>
      </x:c>
      <x:c r="G80" s="121"/>
      <x:c r="H80" s="121"/>
      <x:c r="I80" s="189" t="b">
        <x:v>1</x:v>
      </x:c>
    </x:row>
    <x:row r="81">
      <x:c r="A81" s="121" t="str">
        <x:v>GPUChips</x:v>
      </x:c>
      <x:c r="B81" s="121" t="str">
        <x:v>architecture</x:v>
      </x:c>
      <x:c r="C81" s="121" t="str">
        <x:v>specs.architecture</x:v>
      </x:c>
      <x:c r="D81" s="121" t="str">
        <x:v>string</x:v>
      </x:c>
      <x:c r="E81" s="189" t="b">
        <x:v>0</x:v>
      </x:c>
      <x:c r="F81" s="121" t="str">
        <x:v>GPUアーキテクチャ</x:v>
      </x:c>
      <x:c r="G81" s="121"/>
      <x:c r="H81" s="121"/>
      <x:c r="I81" s="189" t="b">
        <x:v>1</x:v>
      </x:c>
    </x:row>
    <x:row r="82">
      <x:c r="A82" s="121" t="str">
        <x:v>GPUChips</x:v>
      </x:c>
      <x:c r="B82" s="121" t="str">
        <x:v>generation</x:v>
      </x:c>
      <x:c r="C82" s="121" t="str">
        <x:v>specs.generation</x:v>
      </x:c>
      <x:c r="D82" s="121" t="str">
        <x:v>string</x:v>
      </x:c>
      <x:c r="E82" s="189" t="b">
        <x:v>0</x:v>
      </x:c>
      <x:c r="F82" s="121" t="str">
        <x:v>製品世代</x:v>
      </x:c>
      <x:c r="G82" s="121"/>
      <x:c r="H82" s="121"/>
      <x:c r="I82" s="189" t="b">
        <x:v>1</x:v>
      </x:c>
    </x:row>
    <x:row r="83">
      <x:c r="A83" s="121" t="str">
        <x:v>GPUChips</x:v>
      </x:c>
      <x:c r="B83" s="121" t="str">
        <x:v>release_date</x:v>
      </x:c>
      <x:c r="C83" s="121" t="str">
        <x:v>specs.release_date</x:v>
      </x:c>
      <x:c r="D83" s="121" t="str">
        <x:v>date</x:v>
      </x:c>
      <x:c r="E83" s="189" t="b">
        <x:v>0</x:v>
      </x:c>
      <x:c r="F83" s="121" t="str">
        <x:v>一般販売開始日。確定日のみ</x:v>
      </x:c>
      <x:c r="G83" s="121"/>
      <x:c r="H83" s="121"/>
      <x:c r="I83" s="189" t="b">
        <x:v>1</x:v>
      </x:c>
    </x:row>
    <x:row r="84">
      <x:c r="A84" s="121" t="str">
        <x:v>GPUChips</x:v>
      </x:c>
      <x:c r="B84" s="121" t="str">
        <x:v>launch_period</x:v>
      </x:c>
      <x:c r="C84" s="121" t="str">
        <x:v>specs.launch_period</x:v>
      </x:c>
      <x:c r="D84" s="121" t="str">
        <x:v>string</x:v>
      </x:c>
      <x:c r="E84" s="189" t="b">
        <x:v>0</x:v>
      </x:c>
      <x:c r="F84" s="121" t="str">
        <x:v>発売日未確定時の月・四半期</x:v>
      </x:c>
      <x:c r="G84" s="121"/>
      <x:c r="H84" s="121"/>
      <x:c r="I84" s="189" t="b">
        <x:v>1</x:v>
      </x:c>
    </x:row>
    <x:row r="85">
      <x:c r="A85" s="121" t="str">
        <x:v>GPUChips</x:v>
      </x:c>
      <x:c r="B85" s="121" t="str">
        <x:v>release_date_precision</x:v>
      </x:c>
      <x:c r="C85" s="121" t="str">
        <x:v>specs.release_date_precision</x:v>
      </x:c>
      <x:c r="D85" s="121" t="str">
        <x:v>string</x:v>
      </x:c>
      <x:c r="E85" s="189" t="b">
        <x:v>0</x:v>
      </x:c>
      <x:c r="F85" s="121" t="str">
        <x:v>exact/month/quarter/unknown</x:v>
      </x:c>
      <x:c r="G85" s="121"/>
      <x:c r="H85" s="121"/>
      <x:c r="I85" s="189" t="b">
        <x:v>1</x:v>
      </x:c>
    </x:row>
    <x:row r="86">
      <x:c r="A86" s="121" t="str">
        <x:v>GPUChips</x:v>
      </x:c>
      <x:c r="B86" s="121" t="str">
        <x:v>vram_gb</x:v>
      </x:c>
      <x:c r="C86" s="121" t="str">
        <x:v>specs.vram_gb</x:v>
      </x:c>
      <x:c r="D86" s="121" t="str">
        <x:v>number</x:v>
      </x:c>
      <x:c r="E86" s="189" t="b">
        <x:v>0</x:v>
      </x:c>
      <x:c r="F86" s="121" t="str">
        <x:v>GPUチップ構成に対応するVRAM容量</x:v>
      </x:c>
      <x:c r="G86" s="121" t="str">
        <x:v>GB</x:v>
      </x:c>
      <x:c r="H86" s="121"/>
      <x:c r="I86" s="189" t="b">
        <x:v>1</x:v>
      </x:c>
    </x:row>
    <x:row r="87">
      <x:c r="A87" s="121" t="str">
        <x:v>GPUChips</x:v>
      </x:c>
      <x:c r="B87" s="121" t="str">
        <x:v>memory_type</x:v>
      </x:c>
      <x:c r="C87" s="121" t="str">
        <x:v>specs.memory_type</x:v>
      </x:c>
      <x:c r="D87" s="121" t="str">
        <x:v>string</x:v>
      </x:c>
      <x:c r="E87" s="189" t="b">
        <x:v>0</x:v>
      </x:c>
      <x:c r="F87" s="121" t="str">
        <x:v>VRAM種類</x:v>
      </x:c>
      <x:c r="G87" s="121"/>
      <x:c r="H87" s="121"/>
      <x:c r="I87" s="189" t="b">
        <x:v>1</x:v>
      </x:c>
    </x:row>
    <x:row r="88">
      <x:c r="A88" s="121" t="str">
        <x:v>GPUChips</x:v>
      </x:c>
      <x:c r="B88" s="121" t="str">
        <x:v>memory_bus_bits</x:v>
      </x:c>
      <x:c r="C88" s="121" t="str">
        <x:v>specs.memory_bus_bits</x:v>
      </x:c>
      <x:c r="D88" s="121" t="str">
        <x:v>integer</x:v>
      </x:c>
      <x:c r="E88" s="189" t="b">
        <x:v>0</x:v>
      </x:c>
      <x:c r="F88" s="121" t="str">
        <x:v>メモリバス幅</x:v>
      </x:c>
      <x:c r="G88" s="121" t="str">
        <x:v>bit</x:v>
      </x:c>
      <x:c r="H88" s="121"/>
      <x:c r="I88" s="189" t="b">
        <x:v>1</x:v>
      </x:c>
    </x:row>
    <x:row r="89">
      <x:c r="A89" s="121" t="str">
        <x:v>GPUChips</x:v>
      </x:c>
      <x:c r="B89" s="121" t="str">
        <x:v>passmark_g3d_mark</x:v>
      </x:c>
      <x:c r="C89" s="121" t="str">
        <x:v>specs.passmark_g3d_mark</x:v>
      </x:c>
      <x:c r="D89" s="121" t="str">
        <x:v>integer</x:v>
      </x:c>
      <x:c r="E89" s="189" t="b">
        <x:v>0</x:v>
      </x:c>
      <x:c r="F89" s="121" t="str">
        <x:v>PassMark G3D Mark（確認日時点）</x:v>
      </x:c>
      <x:c r="G89" s="121" t="str">
        <x:v>points</x:v>
      </x:c>
      <x:c r="H89" s="121"/>
      <x:c r="I89" s="189" t="b">
        <x:v>1</x:v>
      </x:c>
    </x:row>
    <x:row r="90">
      <x:c r="A90" s="121" t="str">
        <x:v>GPUChips</x:v>
      </x:c>
      <x:c r="B90" s="121" t="str">
        <x:v>passmark_g2d_mark</x:v>
      </x:c>
      <x:c r="C90" s="121" t="str">
        <x:v>specs.passmark_g2d_mark</x:v>
      </x:c>
      <x:c r="D90" s="121" t="str">
        <x:v>integer</x:v>
      </x:c>
      <x:c r="E90" s="189" t="b">
        <x:v>0</x:v>
      </x:c>
      <x:c r="F90" s="121" t="str">
        <x:v>PassMark G2D Mark（確認日時点）</x:v>
      </x:c>
      <x:c r="G90" s="121" t="str">
        <x:v>points</x:v>
      </x:c>
      <x:c r="H90" s="121"/>
      <x:c r="I90" s="189" t="b">
        <x:v>1</x:v>
      </x:c>
    </x:row>
    <x:row r="91">
      <x:c r="A91" s="121" t="str">
        <x:v>GPUChips</x:v>
      </x:c>
      <x:c r="B91" s="121" t="str">
        <x:v>benchmark_reported_tdp_w</x:v>
      </x:c>
      <x:c r="C91" s="121" t="str">
        <x:v>specs.benchmark_reported_tdp_w</x:v>
      </x:c>
      <x:c r="D91" s="121" t="str">
        <x:v>number</x:v>
      </x:c>
      <x:c r="E91" s="189" t="b">
        <x:v>0</x:v>
      </x:c>
      <x:c r="F91" s="121" t="str">
        <x:v>PassMark掲載TDP。個別ボードのTBPとは分離</x:v>
      </x:c>
      <x:c r="G91" s="121" t="str">
        <x:v>W</x:v>
      </x:c>
      <x:c r="H91" s="121"/>
      <x:c r="I91" s="189" t="b">
        <x:v>1</x:v>
      </x:c>
    </x:row>
    <x:row r="92">
      <x:c r="A92" s="121" t="str">
        <x:v>GPUChips</x:v>
      </x:c>
      <x:c r="B92" s="121" t="str">
        <x:v>passmark_checked_at</x:v>
      </x:c>
      <x:c r="C92" s="121" t="str">
        <x:v>specs.passmark_checked_at</x:v>
      </x:c>
      <x:c r="D92" s="121" t="str">
        <x:v>date</x:v>
      </x:c>
      <x:c r="E92" s="189" t="b">
        <x:v>0</x:v>
      </x:c>
      <x:c r="F92" s="121" t="str">
        <x:v>PassMark値の確認日</x:v>
      </x:c>
      <x:c r="G92" s="121"/>
      <x:c r="H92" s="121"/>
      <x:c r="I92" s="189" t="b">
        <x:v>1</x:v>
      </x:c>
    </x:row>
    <x:row r="93">
      <x:c r="A93" s="121" t="str">
        <x:v>Memory</x:v>
      </x:c>
      <x:c r="B93" s="121" t="str">
        <x:v>product_id</x:v>
      </x:c>
      <x:c r="C93" s="121" t="str">
        <x:v>id</x:v>
      </x:c>
      <x:c r="D93" s="121" t="str">
        <x:v>string</x:v>
      </x:c>
      <x:c r="E93" s="189" t="b">
        <x:v>1</x:v>
      </x:c>
      <x:c r="F93" s="121" t="str">
        <x:v>変更しない製品ID。英小文字・数字・ハイフン推奨</x:v>
      </x:c>
      <x:c r="G93" s="121"/>
      <x:c r="H93" s="121"/>
      <x:c r="I93" s="189" t="b">
        <x:v>1</x:v>
      </x:c>
    </x:row>
    <x:row r="94">
      <x:c r="A94" s="121" t="str">
        <x:v>Memory</x:v>
      </x:c>
      <x:c r="B94" s="121" t="str">
        <x:v>brand</x:v>
      </x:c>
      <x:c r="C94" s="121" t="str">
        <x:v>brand</x:v>
      </x:c>
      <x:c r="D94" s="121" t="str">
        <x:v>string</x:v>
      </x:c>
      <x:c r="E94" s="189" t="b">
        <x:v>1</x:v>
      </x:c>
      <x:c r="F94" s="121" t="str">
        <x:v>メーカー／ブランド</x:v>
      </x:c>
      <x:c r="G94" s="121"/>
      <x:c r="H94" s="121"/>
      <x:c r="I94" s="189" t="b">
        <x:v>1</x:v>
      </x:c>
    </x:row>
    <x:row r="95">
      <x:c r="A95" s="121" t="str">
        <x:v>Memory</x:v>
      </x:c>
      <x:c r="B95" s="121" t="str">
        <x:v>model</x:v>
      </x:c>
      <x:c r="C95" s="121" t="str">
        <x:v>model</x:v>
      </x:c>
      <x:c r="D95" s="121" t="str">
        <x:v>string</x:v>
      </x:c>
      <x:c r="E95" s="189" t="b">
        <x:v>1</x:v>
      </x:c>
      <x:c r="F95" s="121" t="str">
        <x:v>容量や仕様を特定できる正式型番</x:v>
      </x:c>
      <x:c r="G95" s="121"/>
      <x:c r="H95" s="121"/>
      <x:c r="I95" s="189" t="b">
        <x:v>1</x:v>
      </x:c>
    </x:row>
    <x:row r="96">
      <x:c r="A96" s="121" t="str">
        <x:v>Memory</x:v>
      </x:c>
      <x:c r="B96" s="121" t="str">
        <x:v>display_name</x:v>
      </x:c>
      <x:c r="C96" s="121" t="str">
        <x:v>display_name</x:v>
      </x:c>
      <x:c r="D96" s="121" t="str">
        <x:v>string</x:v>
      </x:c>
      <x:c r="E96" s="189" t="b">
        <x:v>0</x:v>
      </x:c>
      <x:c r="F96" s="121" t="str">
        <x:v>人間向け表示名</x:v>
      </x:c>
      <x:c r="G96" s="121"/>
      <x:c r="H96" s="121"/>
      <x:c r="I96" s="189" t="b">
        <x:v>1</x:v>
      </x:c>
    </x:row>
    <x:row r="97">
      <x:c r="A97" s="121" t="str">
        <x:v>Memory</x:v>
      </x:c>
      <x:c r="B97" s="121" t="str">
        <x:v>primary_asin</x:v>
      </x:c>
      <x:c r="C97" s="121" t="str">
        <x:v>identifiers.asins</x:v>
      </x:c>
      <x:c r="D97" s="121" t="str">
        <x:v>string_list</x:v>
      </x:c>
      <x:c r="E97" s="189" t="b">
        <x:v>0</x:v>
      </x:c>
      <x:c r="F97" s="121" t="str">
        <x:v>主要ASIN。複数なら改行区切り</x:v>
      </x:c>
      <x:c r="G97" s="121"/>
      <x:c r="H97" s="121"/>
      <x:c r="I97" s="189" t="b">
        <x:v>1</x:v>
      </x:c>
    </x:row>
    <x:row r="98">
      <x:c r="A98" s="121" t="str">
        <x:v>Memory</x:v>
      </x:c>
      <x:c r="B98" s="121" t="str">
        <x:v>primary_jan</x:v>
      </x:c>
      <x:c r="C98" s="121" t="str">
        <x:v>identifiers.jan</x:v>
      </x:c>
      <x:c r="D98" s="121" t="str">
        <x:v>string_list</x:v>
      </x:c>
      <x:c r="E98" s="189" t="b">
        <x:v>0</x:v>
      </x:c>
      <x:c r="F98" s="121" t="str">
        <x:v>主要JAN。文字列として入力</x:v>
      </x:c>
      <x:c r="G98" s="121"/>
      <x:c r="H98" s="121"/>
      <x:c r="I98" s="189" t="b">
        <x:v>1</x:v>
      </x:c>
    </x:row>
    <x:row r="99">
      <x:c r="A99" s="121" t="str">
        <x:v>Memory</x:v>
      </x:c>
      <x:c r="B99" s="121" t="str">
        <x:v>part_number</x:v>
      </x:c>
      <x:c r="C99" s="121" t="str">
        <x:v>identifiers.part_numbers</x:v>
      </x:c>
      <x:c r="D99" s="121" t="str">
        <x:v>string_list</x:v>
      </x:c>
      <x:c r="E99" s="189" t="b">
        <x:v>0</x:v>
      </x:c>
      <x:c r="F99" s="121" t="str">
        <x:v>メーカー部品番号</x:v>
      </x:c>
      <x:c r="G99" s="121"/>
      <x:c r="H99" s="121"/>
      <x:c r="I99" s="189" t="b">
        <x:v>1</x:v>
      </x:c>
    </x:row>
    <x:row r="100">
      <x:c r="A100" s="121" t="str">
        <x:v>Memory</x:v>
      </x:c>
      <x:c r="B100" s="121" t="str">
        <x:v>kakaku_product_id</x:v>
      </x:c>
      <x:c r="C100" s="121" t="str">
        <x:v>identifiers.kakaku_ids</x:v>
      </x:c>
      <x:c r="D100" s="121" t="str">
        <x:v>string_list</x:v>
      </x:c>
      <x:c r="E100" s="189" t="b">
        <x:v>0</x:v>
      </x:c>
      <x:c r="F100" s="121" t="str">
        <x:v>価格.com製品ID</x:v>
      </x:c>
      <x:c r="G100" s="121"/>
      <x:c r="H100" s="121"/>
      <x:c r="I100" s="189" t="b">
        <x:v>1</x:v>
      </x:c>
    </x:row>
    <x:row r="101">
      <x:c r="A101" s="121" t="str">
        <x:v>Memory</x:v>
      </x:c>
      <x:c r="B101" s="121" t="str">
        <x:v>aliases</x:v>
      </x:c>
      <x:c r="C101" s="121" t="str">
        <x:v>aliases</x:v>
      </x:c>
      <x:c r="D101" s="121" t="str">
        <x:v>string_list</x:v>
      </x:c>
      <x:c r="E101" s="189" t="b">
        <x:v>0</x:v>
      </x:c>
      <x:c r="F101" s="121" t="str">
        <x:v>別名・略称。1件1行</x:v>
      </x:c>
      <x:c r="G101" s="121"/>
      <x:c r="H101" s="121"/>
      <x:c r="I101" s="189" t="b">
        <x:v>1</x:v>
      </x:c>
    </x:row>
    <x:row r="102">
      <x:c r="A102" s="121" t="str">
        <x:v>Memory</x:v>
      </x:c>
      <x:c r="B102" s="121" t="str">
        <x:v>status</x:v>
      </x:c>
      <x:c r="C102" s="121" t="str">
        <x:v>quality.status</x:v>
      </x:c>
      <x:c r="D102" s="121" t="str">
        <x:v>string</x:v>
      </x:c>
      <x:c r="E102" s="189" t="b">
        <x:v>1</x:v>
      </x:c>
      <x:c r="F102" s="121" t="str">
        <x:v>品質評価状態</x:v>
      </x:c>
      <x:c r="G102" s="121"/>
      <x:c r="H102" s="121" t="str">
        <x:v>QualityStatus</x:v>
      </x:c>
      <x:c r="I102" s="189" t="b">
        <x:v>1</x:v>
      </x:c>
    </x:row>
    <x:row r="103">
      <x:c r="A103" s="121" t="str">
        <x:v>Memory</x:v>
      </x:c>
      <x:c r="B103" s="121" t="str">
        <x:v>tier</x:v>
      </x:c>
      <x:c r="C103" s="121" t="str">
        <x:v>quality.tier</x:v>
      </x:c>
      <x:c r="D103" s="121" t="str">
        <x:v>string</x:v>
      </x:c>
      <x:c r="E103" s="189" t="b">
        <x:v>1</x:v>
      </x:c>
      <x:c r="F103" s="121" t="str">
        <x:v>品質Tier</x:v>
      </x:c>
      <x:c r="G103" s="121"/>
      <x:c r="H103" s="121" t="str">
        <x:v>Tier</x:v>
      </x:c>
      <x:c r="I103" s="189" t="b">
        <x:v>1</x:v>
      </x:c>
    </x:row>
    <x:row r="104">
      <x:c r="A104" s="121" t="str">
        <x:v>Memory</x:v>
      </x:c>
      <x:c r="B104" s="121" t="str">
        <x:v>reviewed_at</x:v>
      </x:c>
      <x:c r="C104" s="121" t="str">
        <x:v>quality.reviewed_at</x:v>
      </x:c>
      <x:c r="D104" s="121" t="str">
        <x:v>date</x:v>
      </x:c>
      <x:c r="E104" s="189" t="b">
        <x:v>0</x:v>
      </x:c>
      <x:c r="F104" s="121" t="str">
        <x:v>品質評価日</x:v>
      </x:c>
      <x:c r="G104" s="121"/>
      <x:c r="H104" s="121"/>
      <x:c r="I104" s="189" t="b">
        <x:v>1</x:v>
      </x:c>
    </x:row>
    <x:row r="105">
      <x:c r="A105" s="121" t="str">
        <x:v>Memory</x:v>
      </x:c>
      <x:c r="B105" s="121" t="str">
        <x:v>quality_summary</x:v>
      </x:c>
      <x:c r="C105" s="121" t="str">
        <x:v>quality.summary</x:v>
      </x:c>
      <x:c r="D105" s="121" t="str">
        <x:v>string</x:v>
      </x:c>
      <x:c r="E105" s="189" t="b">
        <x:v>0</x:v>
      </x:c>
      <x:c r="F105" s="121" t="str">
        <x:v>総合評価の要約</x:v>
      </x:c>
      <x:c r="G105" s="121"/>
      <x:c r="H105" s="121"/>
      <x:c r="I105" s="189" t="b">
        <x:v>1</x:v>
      </x:c>
    </x:row>
    <x:row r="106">
      <x:c r="A106" s="121" t="str">
        <x:v>Memory</x:v>
      </x:c>
      <x:c r="B106" s="121" t="str">
        <x:v>strengths</x:v>
      </x:c>
      <x:c r="C106" s="121" t="str">
        <x:v>quality.strengths</x:v>
      </x:c>
      <x:c r="D106" s="121" t="str">
        <x:v>string_list</x:v>
      </x:c>
      <x:c r="E106" s="189" t="b">
        <x:v>0</x:v>
      </x:c>
      <x:c r="F106" s="121" t="str">
        <x:v>長所。1件1行</x:v>
      </x:c>
      <x:c r="G106" s="121"/>
      <x:c r="H106" s="121"/>
      <x:c r="I106" s="189" t="b">
        <x:v>1</x:v>
      </x:c>
    </x:row>
    <x:row r="107">
      <x:c r="A107" s="121" t="str">
        <x:v>Memory</x:v>
      </x:c>
      <x:c r="B107" s="121" t="str">
        <x:v>weaknesses</x:v>
      </x:c>
      <x:c r="C107" s="121" t="str">
        <x:v>quality.weaknesses</x:v>
      </x:c>
      <x:c r="D107" s="121" t="str">
        <x:v>string_list</x:v>
      </x:c>
      <x:c r="E107" s="189" t="b">
        <x:v>0</x:v>
      </x:c>
      <x:c r="F107" s="121" t="str">
        <x:v>短所。1件1行</x:v>
      </x:c>
      <x:c r="G107" s="121"/>
      <x:c r="H107" s="121"/>
      <x:c r="I107" s="189" t="b">
        <x:v>1</x:v>
      </x:c>
    </x:row>
    <x:row r="108">
      <x:c r="A108" s="121" t="str">
        <x:v>Memory</x:v>
      </x:c>
      <x:c r="B108" s="121" t="str">
        <x:v>risk_summary</x:v>
      </x:c>
      <x:c r="C108" s="121" t="str">
        <x:v>quality.risk_summary</x:v>
      </x:c>
      <x:c r="D108" s="121" t="str">
        <x:v>string</x:v>
      </x:c>
      <x:c r="E108" s="189" t="b">
        <x:v>0</x:v>
      </x:c>
      <x:c r="F108" s="121" t="str">
        <x:v>現在の主要リスク要約</x:v>
      </x:c>
      <x:c r="G108" s="121"/>
      <x:c r="H108" s="121"/>
      <x:c r="I108" s="189" t="b">
        <x:v>1</x:v>
      </x:c>
    </x:row>
    <x:row r="109">
      <x:c r="A109" s="121" t="str">
        <x:v>Memory</x:v>
      </x:c>
      <x:c r="B109" s="121" t="str">
        <x:v>notes</x:v>
      </x:c>
      <x:c r="C109" s="121" t="str">
        <x:v>notes</x:v>
      </x:c>
      <x:c r="D109" s="121" t="str">
        <x:v>string_list</x:v>
      </x:c>
      <x:c r="E109" s="189" t="b">
        <x:v>0</x:v>
      </x:c>
      <x:c r="F109" s="121" t="str">
        <x:v>補足。1件1行</x:v>
      </x:c>
      <x:c r="G109" s="121"/>
      <x:c r="H109" s="121"/>
      <x:c r="I109" s="189" t="b">
        <x:v>1</x:v>
      </x:c>
    </x:row>
    <x:row r="110">
      <x:c r="A110" s="121" t="str">
        <x:v>Memory</x:v>
      </x:c>
      <x:c r="B110" s="121" t="str">
        <x:v>memory_type</x:v>
      </x:c>
      <x:c r="C110" s="121" t="str">
        <x:v>specs.memory_type</x:v>
      </x:c>
      <x:c r="D110" s="121" t="str">
        <x:v>string</x:v>
      </x:c>
      <x:c r="E110" s="189" t="b">
        <x:v>0</x:v>
      </x:c>
      <x:c r="F110" s="121" t="str">
        <x:v>メモリ規格</x:v>
      </x:c>
      <x:c r="G110" s="121"/>
      <x:c r="H110" s="121" t="str">
        <x:v>MemoryType</x:v>
      </x:c>
      <x:c r="I110" s="189" t="b">
        <x:v>1</x:v>
      </x:c>
    </x:row>
    <x:row r="111">
      <x:c r="A111" s="121" t="str">
        <x:v>Memory</x:v>
      </x:c>
      <x:c r="B111" s="121" t="str">
        <x:v>total_capacity_gb</x:v>
      </x:c>
      <x:c r="C111" s="121" t="str">
        <x:v>specs.total_capacity_gb</x:v>
      </x:c>
      <x:c r="D111" s="121" t="str">
        <x:v>number</x:v>
      </x:c>
      <x:c r="E111" s="189" t="b">
        <x:v>0</x:v>
      </x:c>
      <x:c r="F111" s="121" t="str">
        <x:v>合計容量</x:v>
      </x:c>
      <x:c r="G111" s="121" t="str">
        <x:v>GB</x:v>
      </x:c>
      <x:c r="H111" s="121"/>
      <x:c r="I111" s="189" t="b">
        <x:v>1</x:v>
      </x:c>
    </x:row>
    <x:row r="112">
      <x:c r="A112" s="121" t="str">
        <x:v>Memory</x:v>
      </x:c>
      <x:c r="B112" s="121" t="str">
        <x:v>module_count</x:v>
      </x:c>
      <x:c r="C112" s="121" t="str">
        <x:v>specs.module_count</x:v>
      </x:c>
      <x:c r="D112" s="121" t="str">
        <x:v>integer</x:v>
      </x:c>
      <x:c r="E112" s="189" t="b">
        <x:v>0</x:v>
      </x:c>
      <x:c r="F112" s="121" t="str">
        <x:v>モジュール枚数</x:v>
      </x:c>
      <x:c r="G112" s="121" t="str">
        <x:v>modules</x:v>
      </x:c>
      <x:c r="H112" s="121"/>
      <x:c r="I112" s="189" t="b">
        <x:v>1</x:v>
      </x:c>
    </x:row>
    <x:row r="113">
      <x:c r="A113" s="121" t="str">
        <x:v>Memory</x:v>
      </x:c>
      <x:c r="B113" s="121" t="str">
        <x:v>data_rate_mt_s</x:v>
      </x:c>
      <x:c r="C113" s="121" t="str">
        <x:v>specs.data_rate_mt_s</x:v>
      </x:c>
      <x:c r="D113" s="121" t="str">
        <x:v>integer</x:v>
      </x:c>
      <x:c r="E113" s="189" t="b">
        <x:v>0</x:v>
      </x:c>
      <x:c r="F113" s="121" t="str">
        <x:v>XMP/EXPO等のOCプロファイル適用時の公称データレート</x:v>
      </x:c>
      <x:c r="G113" s="121" t="str">
        <x:v>MT/s</x:v>
      </x:c>
      <x:c r="H113" s="121"/>
      <x:c r="I113" s="189" t="b">
        <x:v>1</x:v>
      </x:c>
    </x:row>
    <x:row r="114">
      <x:c r="A114" s="121" t="str">
        <x:v>Memory</x:v>
      </x:c>
      <x:c r="B114" s="121" t="str">
        <x:v>expo</x:v>
      </x:c>
      <x:c r="C114" s="121" t="str">
        <x:v>specs.expo</x:v>
      </x:c>
      <x:c r="D114" s="121" t="str">
        <x:v>boolean</x:v>
      </x:c>
      <x:c r="E114" s="189" t="b">
        <x:v>0</x:v>
      </x:c>
      <x:c r="F114" s="121" t="str">
        <x:v>AMD EXPO対応</x:v>
      </x:c>
      <x:c r="G114" s="121"/>
      <x:c r="H114" s="121" t="str">
        <x:v>Boolean</x:v>
      </x:c>
      <x:c r="I114" s="189" t="b">
        <x:v>1</x:v>
      </x:c>
    </x:row>
    <x:row r="115">
      <x:c r="A115" s="121" t="str">
        <x:v>Memory</x:v>
      </x:c>
      <x:c r="B115" s="121" t="str">
        <x:v>cas_latency</x:v>
      </x:c>
      <x:c r="C115" s="121" t="str">
        <x:v>specs.cas_latency</x:v>
      </x:c>
      <x:c r="D115" s="121" t="str">
        <x:v>number</x:v>
      </x:c>
      <x:c r="E115" s="189" t="b">
        <x:v>0</x:v>
      </x:c>
      <x:c r="F115" s="121" t="str">
        <x:v>CAS Latency</x:v>
      </x:c>
      <x:c r="G115" s="121" t="str">
        <x:v>CL</x:v>
      </x:c>
      <x:c r="H115" s="121"/>
      <x:c r="I115" s="189" t="b">
        <x:v>1</x:v>
      </x:c>
    </x:row>
    <x:row r="116">
      <x:c r="A116" s="121" t="str">
        <x:v>Memory</x:v>
      </x:c>
      <x:c r="B116" s="121" t="str">
        <x:v>module_height_mm</x:v>
      </x:c>
      <x:c r="C116" s="121" t="str">
        <x:v>specs.module_height_mm</x:v>
      </x:c>
      <x:c r="D116" s="121" t="str">
        <x:v>number</x:v>
      </x:c>
      <x:c r="E116" s="189" t="b">
        <x:v>0</x:v>
      </x:c>
      <x:c r="F116" s="121" t="str">
        <x:v>モジュール高さ</x:v>
      </x:c>
      <x:c r="G116" s="121" t="str">
        <x:v>mm</x:v>
      </x:c>
      <x:c r="H116" s="121"/>
      <x:c r="I116" s="189" t="b">
        <x:v>1</x:v>
      </x:c>
    </x:row>
    <x:row r="117">
      <x:c r="A117" s="121" t="str">
        <x:v>Memory</x:v>
      </x:c>
      <x:c r="B117" s="121" t="str">
        <x:v>warranty_class</x:v>
      </x:c>
      <x:c r="C117" s="121" t="str">
        <x:v>specs.warranty_class</x:v>
      </x:c>
      <x:c r="D117" s="121" t="str">
        <x:v>string</x:v>
      </x:c>
      <x:c r="E117" s="189" t="b">
        <x:v>0</x:v>
      </x:c>
      <x:c r="F117" s="121" t="str">
        <x:v>保証クラス</x:v>
      </x:c>
      <x:c r="G117" s="121"/>
      <x:c r="H117" s="121" t="str">
        <x:v>WarrantyClass</x:v>
      </x:c>
      <x:c r="I117" s="189" t="b">
        <x:v>1</x:v>
      </x:c>
    </x:row>
    <x:row r="118">
      <x:c r="A118" s="121" t="str">
        <x:v>Memory</x:v>
      </x:c>
      <x:c r="B118" s="121" t="str">
        <x:v>voltage_v</x:v>
      </x:c>
      <x:c r="C118" s="121" t="str">
        <x:v>specs.voltage_v</x:v>
      </x:c>
      <x:c r="D118" s="121" t="str">
        <x:v>number</x:v>
      </x:c>
      <x:c r="E118" s="189" t="b">
        <x:v>0</x:v>
      </x:c>
      <x:c r="F118" s="121" t="str">
        <x:v>動作電圧</x:v>
      </x:c>
      <x:c r="G118" s="121" t="str">
        <x:v>V</x:v>
      </x:c>
      <x:c r="H118" s="121"/>
      <x:c r="I118" s="189" t="b">
        <x:v>1</x:v>
      </x:c>
    </x:row>
    <x:row r="119">
      <x:c r="A119" s="121" t="str">
        <x:v>Memory</x:v>
      </x:c>
      <x:c r="B119" s="121" t="str">
        <x:v>chip_type</x:v>
      </x:c>
      <x:c r="C119" s="121" t="str">
        <x:v>specs.chip_type</x:v>
      </x:c>
      <x:c r="D119" s="121" t="str">
        <x:v>string</x:v>
      </x:c>
      <x:c r="E119" s="189" t="b">
        <x:v>0</x:v>
      </x:c>
      <x:c r="F119" s="121" t="str">
        <x:v>DRAMチップ情報</x:v>
      </x:c>
      <x:c r="G119" s="121"/>
      <x:c r="H119" s="121"/>
      <x:c r="I119" s="189" t="b">
        <x:v>1</x:v>
      </x:c>
    </x:row>
    <x:row r="120">
      <x:c r="A120" s="121" t="str">
        <x:v>SSD</x:v>
      </x:c>
      <x:c r="B120" s="121" t="str">
        <x:v>product_id</x:v>
      </x:c>
      <x:c r="C120" s="121" t="str">
        <x:v>id</x:v>
      </x:c>
      <x:c r="D120" s="121" t="str">
        <x:v>string</x:v>
      </x:c>
      <x:c r="E120" s="189" t="b">
        <x:v>1</x:v>
      </x:c>
      <x:c r="F120" s="121" t="str">
        <x:v>変更しない製品ID。英小文字・数字・ハイフン推奨</x:v>
      </x:c>
      <x:c r="G120" s="121"/>
      <x:c r="H120" s="121"/>
      <x:c r="I120" s="189" t="b">
        <x:v>1</x:v>
      </x:c>
    </x:row>
    <x:row r="121">
      <x:c r="A121" s="121" t="str">
        <x:v>SSD</x:v>
      </x:c>
      <x:c r="B121" s="121" t="str">
        <x:v>brand</x:v>
      </x:c>
      <x:c r="C121" s="121" t="str">
        <x:v>brand</x:v>
      </x:c>
      <x:c r="D121" s="121" t="str">
        <x:v>string</x:v>
      </x:c>
      <x:c r="E121" s="189" t="b">
        <x:v>1</x:v>
      </x:c>
      <x:c r="F121" s="121" t="str">
        <x:v>メーカー／ブランド</x:v>
      </x:c>
      <x:c r="G121" s="121"/>
      <x:c r="H121" s="121"/>
      <x:c r="I121" s="189" t="b">
        <x:v>1</x:v>
      </x:c>
    </x:row>
    <x:row r="122">
      <x:c r="A122" s="121" t="str">
        <x:v>SSD</x:v>
      </x:c>
      <x:c r="B122" s="121" t="str">
        <x:v>model</x:v>
      </x:c>
      <x:c r="C122" s="121" t="str">
        <x:v>model</x:v>
      </x:c>
      <x:c r="D122" s="121" t="str">
        <x:v>string</x:v>
      </x:c>
      <x:c r="E122" s="189" t="b">
        <x:v>1</x:v>
      </x:c>
      <x:c r="F122" s="121" t="str">
        <x:v>容量や仕様を特定できる正式型番</x:v>
      </x:c>
      <x:c r="G122" s="121"/>
      <x:c r="H122" s="121"/>
      <x:c r="I122" s="189" t="b">
        <x:v>1</x:v>
      </x:c>
    </x:row>
    <x:row r="123">
      <x:c r="A123" s="121" t="str">
        <x:v>SSD</x:v>
      </x:c>
      <x:c r="B123" s="121" t="str">
        <x:v>display_name</x:v>
      </x:c>
      <x:c r="C123" s="121" t="str">
        <x:v>display_name</x:v>
      </x:c>
      <x:c r="D123" s="121" t="str">
        <x:v>string</x:v>
      </x:c>
      <x:c r="E123" s="189" t="b">
        <x:v>0</x:v>
      </x:c>
      <x:c r="F123" s="121" t="str">
        <x:v>人間向け表示名</x:v>
      </x:c>
      <x:c r="G123" s="121"/>
      <x:c r="H123" s="121"/>
      <x:c r="I123" s="189" t="b">
        <x:v>1</x:v>
      </x:c>
    </x:row>
    <x:row r="124">
      <x:c r="A124" s="121" t="str">
        <x:v>SSD</x:v>
      </x:c>
      <x:c r="B124" s="121" t="str">
        <x:v>primary_asin</x:v>
      </x:c>
      <x:c r="C124" s="121" t="str">
        <x:v>identifiers.asins</x:v>
      </x:c>
      <x:c r="D124" s="121" t="str">
        <x:v>string_list</x:v>
      </x:c>
      <x:c r="E124" s="189" t="b">
        <x:v>0</x:v>
      </x:c>
      <x:c r="F124" s="121" t="str">
        <x:v>主要ASIN。複数なら改行区切り</x:v>
      </x:c>
      <x:c r="G124" s="121"/>
      <x:c r="H124" s="121"/>
      <x:c r="I124" s="189" t="b">
        <x:v>1</x:v>
      </x:c>
    </x:row>
    <x:row r="125">
      <x:c r="A125" s="121" t="str">
        <x:v>SSD</x:v>
      </x:c>
      <x:c r="B125" s="121" t="str">
        <x:v>primary_jan</x:v>
      </x:c>
      <x:c r="C125" s="121" t="str">
        <x:v>identifiers.jan</x:v>
      </x:c>
      <x:c r="D125" s="121" t="str">
        <x:v>string_list</x:v>
      </x:c>
      <x:c r="E125" s="189" t="b">
        <x:v>0</x:v>
      </x:c>
      <x:c r="F125" s="121" t="str">
        <x:v>主要JAN。文字列として入力</x:v>
      </x:c>
      <x:c r="G125" s="121"/>
      <x:c r="H125" s="121"/>
      <x:c r="I125" s="189" t="b">
        <x:v>1</x:v>
      </x:c>
    </x:row>
    <x:row r="126">
      <x:c r="A126" s="121" t="str">
        <x:v>SSD</x:v>
      </x:c>
      <x:c r="B126" s="121" t="str">
        <x:v>part_number</x:v>
      </x:c>
      <x:c r="C126" s="121" t="str">
        <x:v>identifiers.part_numbers</x:v>
      </x:c>
      <x:c r="D126" s="121" t="str">
        <x:v>string_list</x:v>
      </x:c>
      <x:c r="E126" s="189" t="b">
        <x:v>0</x:v>
      </x:c>
      <x:c r="F126" s="121" t="str">
        <x:v>メーカー部品番号</x:v>
      </x:c>
      <x:c r="G126" s="121"/>
      <x:c r="H126" s="121"/>
      <x:c r="I126" s="189" t="b">
        <x:v>1</x:v>
      </x:c>
    </x:row>
    <x:row r="127">
      <x:c r="A127" s="121" t="str">
        <x:v>SSD</x:v>
      </x:c>
      <x:c r="B127" s="121" t="str">
        <x:v>kakaku_product_id</x:v>
      </x:c>
      <x:c r="C127" s="121" t="str">
        <x:v>identifiers.kakaku_ids</x:v>
      </x:c>
      <x:c r="D127" s="121" t="str">
        <x:v>string_list</x:v>
      </x:c>
      <x:c r="E127" s="189" t="b">
        <x:v>0</x:v>
      </x:c>
      <x:c r="F127" s="121" t="str">
        <x:v>価格.com製品ID</x:v>
      </x:c>
      <x:c r="G127" s="121"/>
      <x:c r="H127" s="121"/>
      <x:c r="I127" s="189" t="b">
        <x:v>1</x:v>
      </x:c>
    </x:row>
    <x:row r="128">
      <x:c r="A128" s="121" t="str">
        <x:v>SSD</x:v>
      </x:c>
      <x:c r="B128" s="121" t="str">
        <x:v>aliases</x:v>
      </x:c>
      <x:c r="C128" s="121" t="str">
        <x:v>aliases</x:v>
      </x:c>
      <x:c r="D128" s="121" t="str">
        <x:v>string_list</x:v>
      </x:c>
      <x:c r="E128" s="189" t="b">
        <x:v>0</x:v>
      </x:c>
      <x:c r="F128" s="121" t="str">
        <x:v>別名・略称。1件1行</x:v>
      </x:c>
      <x:c r="G128" s="121"/>
      <x:c r="H128" s="121"/>
      <x:c r="I128" s="189" t="b">
        <x:v>1</x:v>
      </x:c>
    </x:row>
    <x:row r="129">
      <x:c r="A129" s="121" t="str">
        <x:v>SSD</x:v>
      </x:c>
      <x:c r="B129" s="121" t="str">
        <x:v>status</x:v>
      </x:c>
      <x:c r="C129" s="121" t="str">
        <x:v>quality.status</x:v>
      </x:c>
      <x:c r="D129" s="121" t="str">
        <x:v>string</x:v>
      </x:c>
      <x:c r="E129" s="189" t="b">
        <x:v>1</x:v>
      </x:c>
      <x:c r="F129" s="121" t="str">
        <x:v>品質評価状態</x:v>
      </x:c>
      <x:c r="G129" s="121"/>
      <x:c r="H129" s="121" t="str">
        <x:v>QualityStatus</x:v>
      </x:c>
      <x:c r="I129" s="189" t="b">
        <x:v>1</x:v>
      </x:c>
    </x:row>
    <x:row r="130">
      <x:c r="A130" s="121" t="str">
        <x:v>SSD</x:v>
      </x:c>
      <x:c r="B130" s="121" t="str">
        <x:v>tier</x:v>
      </x:c>
      <x:c r="C130" s="121" t="str">
        <x:v>quality.tier</x:v>
      </x:c>
      <x:c r="D130" s="121" t="str">
        <x:v>string</x:v>
      </x:c>
      <x:c r="E130" s="189" t="b">
        <x:v>1</x:v>
      </x:c>
      <x:c r="F130" s="121" t="str">
        <x:v>品質Tier</x:v>
      </x:c>
      <x:c r="G130" s="121"/>
      <x:c r="H130" s="121" t="str">
        <x:v>Tier</x:v>
      </x:c>
      <x:c r="I130" s="189" t="b">
        <x:v>1</x:v>
      </x:c>
    </x:row>
    <x:row r="131">
      <x:c r="A131" s="121" t="str">
        <x:v>SSD</x:v>
      </x:c>
      <x:c r="B131" s="121" t="str">
        <x:v>reviewed_at</x:v>
      </x:c>
      <x:c r="C131" s="121" t="str">
        <x:v>quality.reviewed_at</x:v>
      </x:c>
      <x:c r="D131" s="121" t="str">
        <x:v>date</x:v>
      </x:c>
      <x:c r="E131" s="189" t="b">
        <x:v>0</x:v>
      </x:c>
      <x:c r="F131" s="121" t="str">
        <x:v>品質評価日</x:v>
      </x:c>
      <x:c r="G131" s="121"/>
      <x:c r="H131" s="121"/>
      <x:c r="I131" s="189" t="b">
        <x:v>1</x:v>
      </x:c>
    </x:row>
    <x:row r="132">
      <x:c r="A132" s="121" t="str">
        <x:v>SSD</x:v>
      </x:c>
      <x:c r="B132" s="121" t="str">
        <x:v>quality_summary</x:v>
      </x:c>
      <x:c r="C132" s="121" t="str">
        <x:v>quality.summary</x:v>
      </x:c>
      <x:c r="D132" s="121" t="str">
        <x:v>string</x:v>
      </x:c>
      <x:c r="E132" s="189" t="b">
        <x:v>0</x:v>
      </x:c>
      <x:c r="F132" s="121" t="str">
        <x:v>総合評価の要約</x:v>
      </x:c>
      <x:c r="G132" s="121"/>
      <x:c r="H132" s="121"/>
      <x:c r="I132" s="189" t="b">
        <x:v>1</x:v>
      </x:c>
    </x:row>
    <x:row r="133">
      <x:c r="A133" s="121" t="str">
        <x:v>SSD</x:v>
      </x:c>
      <x:c r="B133" s="121" t="str">
        <x:v>strengths</x:v>
      </x:c>
      <x:c r="C133" s="121" t="str">
        <x:v>quality.strengths</x:v>
      </x:c>
      <x:c r="D133" s="121" t="str">
        <x:v>string_list</x:v>
      </x:c>
      <x:c r="E133" s="189" t="b">
        <x:v>0</x:v>
      </x:c>
      <x:c r="F133" s="121" t="str">
        <x:v>長所。1件1行</x:v>
      </x:c>
      <x:c r="G133" s="121"/>
      <x:c r="H133" s="121"/>
      <x:c r="I133" s="189" t="b">
        <x:v>1</x:v>
      </x:c>
    </x:row>
    <x:row r="134">
      <x:c r="A134" s="121" t="str">
        <x:v>SSD</x:v>
      </x:c>
      <x:c r="B134" s="121" t="str">
        <x:v>weaknesses</x:v>
      </x:c>
      <x:c r="C134" s="121" t="str">
        <x:v>quality.weaknesses</x:v>
      </x:c>
      <x:c r="D134" s="121" t="str">
        <x:v>string_list</x:v>
      </x:c>
      <x:c r="E134" s="189" t="b">
        <x:v>0</x:v>
      </x:c>
      <x:c r="F134" s="121" t="str">
        <x:v>短所。1件1行</x:v>
      </x:c>
      <x:c r="G134" s="121"/>
      <x:c r="H134" s="121"/>
      <x:c r="I134" s="189" t="b">
        <x:v>1</x:v>
      </x:c>
    </x:row>
    <x:row r="135">
      <x:c r="A135" s="121" t="str">
        <x:v>SSD</x:v>
      </x:c>
      <x:c r="B135" s="121" t="str">
        <x:v>risk_summary</x:v>
      </x:c>
      <x:c r="C135" s="121" t="str">
        <x:v>quality.risk_summary</x:v>
      </x:c>
      <x:c r="D135" s="121" t="str">
        <x:v>string</x:v>
      </x:c>
      <x:c r="E135" s="189" t="b">
        <x:v>0</x:v>
      </x:c>
      <x:c r="F135" s="121" t="str">
        <x:v>現在の主要リスク要約</x:v>
      </x:c>
      <x:c r="G135" s="121"/>
      <x:c r="H135" s="121"/>
      <x:c r="I135" s="189" t="b">
        <x:v>1</x:v>
      </x:c>
    </x:row>
    <x:row r="136">
      <x:c r="A136" s="121" t="str">
        <x:v>SSD</x:v>
      </x:c>
      <x:c r="B136" s="121" t="str">
        <x:v>notes</x:v>
      </x:c>
      <x:c r="C136" s="121" t="str">
        <x:v>notes</x:v>
      </x:c>
      <x:c r="D136" s="121" t="str">
        <x:v>string_list</x:v>
      </x:c>
      <x:c r="E136" s="189" t="b">
        <x:v>0</x:v>
      </x:c>
      <x:c r="F136" s="121" t="str">
        <x:v>補足。1件1行</x:v>
      </x:c>
      <x:c r="G136" s="121"/>
      <x:c r="H136" s="121"/>
      <x:c r="I136" s="189" t="b">
        <x:v>1</x:v>
      </x:c>
    </x:row>
    <x:row r="137">
      <x:c r="A137" s="121" t="str">
        <x:v>SSD</x:v>
      </x:c>
      <x:c r="B137" s="121" t="str">
        <x:v>capacity_gb</x:v>
      </x:c>
      <x:c r="C137" s="121" t="str">
        <x:v>specs.capacity_gb</x:v>
      </x:c>
      <x:c r="D137" s="121" t="str">
        <x:v>number</x:v>
      </x:c>
      <x:c r="E137" s="189" t="b">
        <x:v>0</x:v>
      </x:c>
      <x:c r="F137" s="121" t="str">
        <x:v>公称容量</x:v>
      </x:c>
      <x:c r="G137" s="121" t="str">
        <x:v>GB</x:v>
      </x:c>
      <x:c r="H137" s="121"/>
      <x:c r="I137" s="189" t="b">
        <x:v>1</x:v>
      </x:c>
    </x:row>
    <x:row r="138">
      <x:c r="A138" s="121" t="str">
        <x:v>SSD</x:v>
      </x:c>
      <x:c r="B138" s="121" t="str">
        <x:v>form_factor</x:v>
      </x:c>
      <x:c r="C138" s="121" t="str">
        <x:v>specs.form_factor</x:v>
      </x:c>
      <x:c r="D138" s="121" t="str">
        <x:v>string</x:v>
      </x:c>
      <x:c r="E138" s="189" t="b">
        <x:v>0</x:v>
      </x:c>
      <x:c r="F138" s="121" t="str">
        <x:v>フォームファクター</x:v>
      </x:c>
      <x:c r="G138" s="121"/>
      <x:c r="H138" s="121" t="str">
        <x:v>SsdFormFactor</x:v>
      </x:c>
      <x:c r="I138" s="189" t="b">
        <x:v>1</x:v>
      </x:c>
    </x:row>
    <x:row r="139">
      <x:c r="A139" s="121" t="str">
        <x:v>SSD</x:v>
      </x:c>
      <x:c r="B139" s="121" t="str">
        <x:v>interface_generation</x:v>
      </x:c>
      <x:c r="C139" s="121" t="str">
        <x:v>specs.interface_generation</x:v>
      </x:c>
      <x:c r="D139" s="121" t="str">
        <x:v>number</x:v>
      </x:c>
      <x:c r="E139" s="189" t="b">
        <x:v>0</x:v>
      </x:c>
      <x:c r="F139" s="121" t="str">
        <x:v>PCIe世代</x:v>
      </x:c>
      <x:c r="G139" s="121" t="str">
        <x:v>generation</x:v>
      </x:c>
      <x:c r="H139" s="121"/>
      <x:c r="I139" s="189" t="b">
        <x:v>1</x:v>
      </x:c>
    </x:row>
    <x:row r="140">
      <x:c r="A140" s="121" t="str">
        <x:v>SSD</x:v>
      </x:c>
      <x:c r="B140" s="121" t="str">
        <x:v>nand_type</x:v>
      </x:c>
      <x:c r="C140" s="121" t="str">
        <x:v>specs.nand_type</x:v>
      </x:c>
      <x:c r="D140" s="121" t="str">
        <x:v>string</x:v>
      </x:c>
      <x:c r="E140" s="189" t="b">
        <x:v>0</x:v>
      </x:c>
      <x:c r="F140" s="121" t="str">
        <x:v>NAND種別</x:v>
      </x:c>
      <x:c r="G140" s="121"/>
      <x:c r="H140" s="121" t="str">
        <x:v>NandType</x:v>
      </x:c>
      <x:c r="I140" s="189" t="b">
        <x:v>1</x:v>
      </x:c>
    </x:row>
    <x:row r="141">
      <x:c r="A141" s="121" t="str">
        <x:v>SSD</x:v>
      </x:c>
      <x:c r="B141" s="121" t="str">
        <x:v>dram_cache</x:v>
      </x:c>
      <x:c r="C141" s="121" t="str">
        <x:v>specs.dram_cache</x:v>
      </x:c>
      <x:c r="D141" s="121" t="str">
        <x:v>boolean</x:v>
      </x:c>
      <x:c r="E141" s="189" t="b">
        <x:v>0</x:v>
      </x:c>
      <x:c r="F141" s="121" t="str">
        <x:v>DRAMキャッシュ</x:v>
      </x:c>
      <x:c r="G141" s="121"/>
      <x:c r="H141" s="121" t="str">
        <x:v>Boolean</x:v>
      </x:c>
      <x:c r="I141" s="189" t="b">
        <x:v>1</x:v>
      </x:c>
    </x:row>
    <x:row r="142">
      <x:c r="A142" s="121" t="str">
        <x:v>SSD</x:v>
      </x:c>
      <x:c r="B142" s="121" t="str">
        <x:v>sustained_write_class</x:v>
      </x:c>
      <x:c r="C142" s="121" t="str">
        <x:v>specs.sustained_write_class</x:v>
      </x:c>
      <x:c r="D142" s="121" t="str">
        <x:v>string</x:v>
      </x:c>
      <x:c r="E142" s="189" t="b">
        <x:v>0</x:v>
      </x:c>
      <x:c r="F142" s="121" t="str">
        <x:v>持続書き込み性能クラス</x:v>
      </x:c>
      <x:c r="G142" s="121"/>
      <x:c r="H142" s="121" t="str">
        <x:v>SustainedWriteClass</x:v>
      </x:c>
      <x:c r="I142" s="189" t="b">
        <x:v>1</x:v>
      </x:c>
    </x:row>
    <x:row r="143">
      <x:c r="A143" s="121" t="str">
        <x:v>SSD</x:v>
      </x:c>
      <x:c r="B143" s="121" t="str">
        <x:v>tbw_tb</x:v>
      </x:c>
      <x:c r="C143" s="121" t="str">
        <x:v>specs.tbw_tb</x:v>
      </x:c>
      <x:c r="D143" s="121" t="str">
        <x:v>number</x:v>
      </x:c>
      <x:c r="E143" s="189" t="b">
        <x:v>0</x:v>
      </x:c>
      <x:c r="F143" s="121" t="str">
        <x:v>書き込み耐久性</x:v>
      </x:c>
      <x:c r="G143" s="121" t="str">
        <x:v>TBW</x:v>
      </x:c>
      <x:c r="H143" s="121"/>
      <x:c r="I143" s="189" t="b">
        <x:v>1</x:v>
      </x:c>
    </x:row>
    <x:row r="144">
      <x:c r="A144" s="121" t="str">
        <x:v>SSD</x:v>
      </x:c>
      <x:c r="B144" s="121" t="str">
        <x:v>warranty_years</x:v>
      </x:c>
      <x:c r="C144" s="121" t="str">
        <x:v>specs.warranty_years</x:v>
      </x:c>
      <x:c r="D144" s="121" t="str">
        <x:v>number</x:v>
      </x:c>
      <x:c r="E144" s="189" t="b">
        <x:v>0</x:v>
      </x:c>
      <x:c r="F144" s="121" t="str">
        <x:v>保証期間</x:v>
      </x:c>
      <x:c r="G144" s="121" t="str">
        <x:v>years</x:v>
      </x:c>
      <x:c r="H144" s="121"/>
      <x:c r="I144" s="189" t="b">
        <x:v>1</x:v>
      </x:c>
    </x:row>
    <x:row r="145">
      <x:c r="A145" s="121" t="str">
        <x:v>SSD</x:v>
      </x:c>
      <x:c r="B145" s="121" t="str">
        <x:v>component_consistency</x:v>
      </x:c>
      <x:c r="C145" s="121" t="str">
        <x:v>specs.component_consistency</x:v>
      </x:c>
      <x:c r="D145" s="121" t="str">
        <x:v>string</x:v>
      </x:c>
      <x:c r="E145" s="189" t="b">
        <x:v>0</x:v>
      </x:c>
      <x:c r="F145" s="121" t="str">
        <x:v>主要部品の一貫性</x:v>
      </x:c>
      <x:c r="G145" s="121"/>
      <x:c r="H145" s="121" t="str">
        <x:v>ComponentConsistency</x:v>
      </x:c>
      <x:c r="I145" s="189" t="b">
        <x:v>1</x:v>
      </x:c>
    </x:row>
    <x:row r="146">
      <x:c r="A146" s="121" t="str">
        <x:v>SSD</x:v>
      </x:c>
      <x:c r="B146" s="121" t="str">
        <x:v>controller</x:v>
      </x:c>
      <x:c r="C146" s="121" t="str">
        <x:v>specs.controller</x:v>
      </x:c>
      <x:c r="D146" s="121" t="str">
        <x:v>string</x:v>
      </x:c>
      <x:c r="E146" s="189" t="b">
        <x:v>0</x:v>
      </x:c>
      <x:c r="F146" s="121" t="str">
        <x:v>コントローラー</x:v>
      </x:c>
      <x:c r="G146" s="121"/>
      <x:c r="H146" s="121"/>
      <x:c r="I146" s="189" t="b">
        <x:v>1</x:v>
      </x:c>
    </x:row>
    <x:row r="147">
      <x:c r="A147" s="121" t="str">
        <x:v>SSD</x:v>
      </x:c>
      <x:c r="B147" s="121" t="str">
        <x:v>sequential_read_mbps</x:v>
      </x:c>
      <x:c r="C147" s="121" t="str">
        <x:v>specs.sequential_read_mbps</x:v>
      </x:c>
      <x:c r="D147" s="121" t="str">
        <x:v>integer</x:v>
      </x:c>
      <x:c r="E147" s="189" t="b">
        <x:v>0</x:v>
      </x:c>
      <x:c r="F147" s="121" t="str">
        <x:v>最大連続読込</x:v>
      </x:c>
      <x:c r="G147" s="121" t="str">
        <x:v>MB/s</x:v>
      </x:c>
      <x:c r="H147" s="121"/>
      <x:c r="I147" s="189" t="b">
        <x:v>1</x:v>
      </x:c>
    </x:row>
    <x:row r="148">
      <x:c r="A148" s="121" t="str">
        <x:v>SSD</x:v>
      </x:c>
      <x:c r="B148" s="121" t="str">
        <x:v>sequential_write_mbps</x:v>
      </x:c>
      <x:c r="C148" s="121" t="str">
        <x:v>specs.sequential_write_mbps</x:v>
      </x:c>
      <x:c r="D148" s="121" t="str">
        <x:v>integer</x:v>
      </x:c>
      <x:c r="E148" s="189" t="b">
        <x:v>0</x:v>
      </x:c>
      <x:c r="F148" s="121" t="str">
        <x:v>最大連続書込</x:v>
      </x:c>
      <x:c r="G148" s="121" t="str">
        <x:v>MB/s</x:v>
      </x:c>
      <x:c r="H148" s="121"/>
      <x:c r="I148" s="189" t="b">
        <x:v>1</x:v>
      </x:c>
    </x:row>
    <x:row r="149">
      <x:c r="A149" s="121" t="str">
        <x:v>SSD</x:v>
      </x:c>
      <x:c r="B149" s="121" t="str">
        <x:v>heatsink</x:v>
      </x:c>
      <x:c r="C149" s="121" t="str">
        <x:v>specs.heatsink</x:v>
      </x:c>
      <x:c r="D149" s="121" t="str">
        <x:v>boolean</x:v>
      </x:c>
      <x:c r="E149" s="189" t="b">
        <x:v>0</x:v>
      </x:c>
      <x:c r="F149" s="121" t="str">
        <x:v>ヒートシンク付属</x:v>
      </x:c>
      <x:c r="G149" s="121"/>
      <x:c r="H149" s="121" t="str">
        <x:v>Boolean</x:v>
      </x:c>
      <x:c r="I149" s="189" t="b">
        <x:v>1</x:v>
      </x:c>
    </x:row>
    <x:row r="150">
      <x:c r="A150" s="121" t="str">
        <x:v>PSU</x:v>
      </x:c>
      <x:c r="B150" s="121" t="str">
        <x:v>product_id</x:v>
      </x:c>
      <x:c r="C150" s="121" t="str">
        <x:v>id</x:v>
      </x:c>
      <x:c r="D150" s="121" t="str">
        <x:v>string</x:v>
      </x:c>
      <x:c r="E150" s="189" t="b">
        <x:v>1</x:v>
      </x:c>
      <x:c r="F150" s="121" t="str">
        <x:v>変更しない製品ID。英小文字・数字・ハイフン推奨</x:v>
      </x:c>
      <x:c r="G150" s="121"/>
      <x:c r="H150" s="121"/>
      <x:c r="I150" s="189" t="b">
        <x:v>1</x:v>
      </x:c>
    </x:row>
    <x:row r="151">
      <x:c r="A151" s="121" t="str">
        <x:v>PSU</x:v>
      </x:c>
      <x:c r="B151" s="121" t="str">
        <x:v>brand</x:v>
      </x:c>
      <x:c r="C151" s="121" t="str">
        <x:v>brand</x:v>
      </x:c>
      <x:c r="D151" s="121" t="str">
        <x:v>string</x:v>
      </x:c>
      <x:c r="E151" s="189" t="b">
        <x:v>1</x:v>
      </x:c>
      <x:c r="F151" s="121" t="str">
        <x:v>メーカー／ブランド</x:v>
      </x:c>
      <x:c r="G151" s="121"/>
      <x:c r="H151" s="121"/>
      <x:c r="I151" s="189" t="b">
        <x:v>1</x:v>
      </x:c>
    </x:row>
    <x:row r="152">
      <x:c r="A152" s="121" t="str">
        <x:v>PSU</x:v>
      </x:c>
      <x:c r="B152" s="121" t="str">
        <x:v>model</x:v>
      </x:c>
      <x:c r="C152" s="121" t="str">
        <x:v>model</x:v>
      </x:c>
      <x:c r="D152" s="121" t="str">
        <x:v>string</x:v>
      </x:c>
      <x:c r="E152" s="189" t="b">
        <x:v>1</x:v>
      </x:c>
      <x:c r="F152" s="121" t="str">
        <x:v>容量や仕様を特定できる正式型番</x:v>
      </x:c>
      <x:c r="G152" s="121"/>
      <x:c r="H152" s="121"/>
      <x:c r="I152" s="189" t="b">
        <x:v>1</x:v>
      </x:c>
    </x:row>
    <x:row r="153">
      <x:c r="A153" s="121" t="str">
        <x:v>PSU</x:v>
      </x:c>
      <x:c r="B153" s="121" t="str">
        <x:v>display_name</x:v>
      </x:c>
      <x:c r="C153" s="121" t="str">
        <x:v>display_name</x:v>
      </x:c>
      <x:c r="D153" s="121" t="str">
        <x:v>string</x:v>
      </x:c>
      <x:c r="E153" s="189" t="b">
        <x:v>0</x:v>
      </x:c>
      <x:c r="F153" s="121" t="str">
        <x:v>人間向け表示名</x:v>
      </x:c>
      <x:c r="G153" s="121"/>
      <x:c r="H153" s="121"/>
      <x:c r="I153" s="189" t="b">
        <x:v>1</x:v>
      </x:c>
    </x:row>
    <x:row r="154">
      <x:c r="A154" s="121" t="str">
        <x:v>PSU</x:v>
      </x:c>
      <x:c r="B154" s="121" t="str">
        <x:v>primary_asin</x:v>
      </x:c>
      <x:c r="C154" s="121" t="str">
        <x:v>identifiers.asins</x:v>
      </x:c>
      <x:c r="D154" s="121" t="str">
        <x:v>string_list</x:v>
      </x:c>
      <x:c r="E154" s="189" t="b">
        <x:v>0</x:v>
      </x:c>
      <x:c r="F154" s="121" t="str">
        <x:v>主要ASIN。複数なら改行区切り</x:v>
      </x:c>
      <x:c r="G154" s="121"/>
      <x:c r="H154" s="121"/>
      <x:c r="I154" s="189" t="b">
        <x:v>1</x:v>
      </x:c>
    </x:row>
    <x:row r="155">
      <x:c r="A155" s="121" t="str">
        <x:v>PSU</x:v>
      </x:c>
      <x:c r="B155" s="121" t="str">
        <x:v>primary_jan</x:v>
      </x:c>
      <x:c r="C155" s="121" t="str">
        <x:v>identifiers.jan</x:v>
      </x:c>
      <x:c r="D155" s="121" t="str">
        <x:v>string_list</x:v>
      </x:c>
      <x:c r="E155" s="189" t="b">
        <x:v>0</x:v>
      </x:c>
      <x:c r="F155" s="121" t="str">
        <x:v>主要JAN。文字列として入力</x:v>
      </x:c>
      <x:c r="G155" s="121"/>
      <x:c r="H155" s="121"/>
      <x:c r="I155" s="189" t="b">
        <x:v>1</x:v>
      </x:c>
    </x:row>
    <x:row r="156">
      <x:c r="A156" s="121" t="str">
        <x:v>PSU</x:v>
      </x:c>
      <x:c r="B156" s="121" t="str">
        <x:v>part_number</x:v>
      </x:c>
      <x:c r="C156" s="121" t="str">
        <x:v>identifiers.part_numbers</x:v>
      </x:c>
      <x:c r="D156" s="121" t="str">
        <x:v>string_list</x:v>
      </x:c>
      <x:c r="E156" s="189" t="b">
        <x:v>0</x:v>
      </x:c>
      <x:c r="F156" s="121" t="str">
        <x:v>メーカー部品番号</x:v>
      </x:c>
      <x:c r="G156" s="121"/>
      <x:c r="H156" s="121"/>
      <x:c r="I156" s="189" t="b">
        <x:v>1</x:v>
      </x:c>
    </x:row>
    <x:row r="157">
      <x:c r="A157" s="121" t="str">
        <x:v>PSU</x:v>
      </x:c>
      <x:c r="B157" s="121" t="str">
        <x:v>kakaku_product_id</x:v>
      </x:c>
      <x:c r="C157" s="121" t="str">
        <x:v>identifiers.kakaku_ids</x:v>
      </x:c>
      <x:c r="D157" s="121" t="str">
        <x:v>string_list</x:v>
      </x:c>
      <x:c r="E157" s="189" t="b">
        <x:v>0</x:v>
      </x:c>
      <x:c r="F157" s="121" t="str">
        <x:v>価格.com製品ID</x:v>
      </x:c>
      <x:c r="G157" s="121"/>
      <x:c r="H157" s="121"/>
      <x:c r="I157" s="189" t="b">
        <x:v>1</x:v>
      </x:c>
    </x:row>
    <x:row r="158">
      <x:c r="A158" s="121" t="str">
        <x:v>PSU</x:v>
      </x:c>
      <x:c r="B158" s="121" t="str">
        <x:v>aliases</x:v>
      </x:c>
      <x:c r="C158" s="121" t="str">
        <x:v>aliases</x:v>
      </x:c>
      <x:c r="D158" s="121" t="str">
        <x:v>string_list</x:v>
      </x:c>
      <x:c r="E158" s="189" t="b">
        <x:v>0</x:v>
      </x:c>
      <x:c r="F158" s="121" t="str">
        <x:v>別名・略称。1件1行</x:v>
      </x:c>
      <x:c r="G158" s="121"/>
      <x:c r="H158" s="121"/>
      <x:c r="I158" s="189" t="b">
        <x:v>1</x:v>
      </x:c>
    </x:row>
    <x:row r="159">
      <x:c r="A159" s="121" t="str">
        <x:v>PSU</x:v>
      </x:c>
      <x:c r="B159" s="121" t="str">
        <x:v>status</x:v>
      </x:c>
      <x:c r="C159" s="121" t="str">
        <x:v>quality.status</x:v>
      </x:c>
      <x:c r="D159" s="121" t="str">
        <x:v>string</x:v>
      </x:c>
      <x:c r="E159" s="189" t="b">
        <x:v>1</x:v>
      </x:c>
      <x:c r="F159" s="121" t="str">
        <x:v>品質評価状態</x:v>
      </x:c>
      <x:c r="G159" s="121"/>
      <x:c r="H159" s="121" t="str">
        <x:v>QualityStatus</x:v>
      </x:c>
      <x:c r="I159" s="189" t="b">
        <x:v>1</x:v>
      </x:c>
    </x:row>
    <x:row r="160">
      <x:c r="A160" s="121" t="str">
        <x:v>PSU</x:v>
      </x:c>
      <x:c r="B160" s="121" t="str">
        <x:v>tier</x:v>
      </x:c>
      <x:c r="C160" s="121" t="str">
        <x:v>quality.tier</x:v>
      </x:c>
      <x:c r="D160" s="121" t="str">
        <x:v>string</x:v>
      </x:c>
      <x:c r="E160" s="189" t="b">
        <x:v>1</x:v>
      </x:c>
      <x:c r="F160" s="121" t="str">
        <x:v>品質Tier</x:v>
      </x:c>
      <x:c r="G160" s="121"/>
      <x:c r="H160" s="121" t="str">
        <x:v>Tier</x:v>
      </x:c>
      <x:c r="I160" s="189" t="b">
        <x:v>1</x:v>
      </x:c>
    </x:row>
    <x:row r="161">
      <x:c r="A161" s="121" t="str">
        <x:v>PSU</x:v>
      </x:c>
      <x:c r="B161" s="121" t="str">
        <x:v>reviewed_at</x:v>
      </x:c>
      <x:c r="C161" s="121" t="str">
        <x:v>quality.reviewed_at</x:v>
      </x:c>
      <x:c r="D161" s="121" t="str">
        <x:v>date</x:v>
      </x:c>
      <x:c r="E161" s="189" t="b">
        <x:v>0</x:v>
      </x:c>
      <x:c r="F161" s="121" t="str">
        <x:v>品質評価日</x:v>
      </x:c>
      <x:c r="G161" s="121"/>
      <x:c r="H161" s="121"/>
      <x:c r="I161" s="189" t="b">
        <x:v>1</x:v>
      </x:c>
    </x:row>
    <x:row r="162">
      <x:c r="A162" s="121" t="str">
        <x:v>PSU</x:v>
      </x:c>
      <x:c r="B162" s="121" t="str">
        <x:v>quality_summary</x:v>
      </x:c>
      <x:c r="C162" s="121" t="str">
        <x:v>quality.summary</x:v>
      </x:c>
      <x:c r="D162" s="121" t="str">
        <x:v>string</x:v>
      </x:c>
      <x:c r="E162" s="189" t="b">
        <x:v>0</x:v>
      </x:c>
      <x:c r="F162" s="121" t="str">
        <x:v>総合評価の要約</x:v>
      </x:c>
      <x:c r="G162" s="121"/>
      <x:c r="H162" s="121"/>
      <x:c r="I162" s="189" t="b">
        <x:v>1</x:v>
      </x:c>
    </x:row>
    <x:row r="163">
      <x:c r="A163" s="121" t="str">
        <x:v>PSU</x:v>
      </x:c>
      <x:c r="B163" s="121" t="str">
        <x:v>strengths</x:v>
      </x:c>
      <x:c r="C163" s="121" t="str">
        <x:v>quality.strengths</x:v>
      </x:c>
      <x:c r="D163" s="121" t="str">
        <x:v>string_list</x:v>
      </x:c>
      <x:c r="E163" s="189" t="b">
        <x:v>0</x:v>
      </x:c>
      <x:c r="F163" s="121" t="str">
        <x:v>長所。1件1行</x:v>
      </x:c>
      <x:c r="G163" s="121"/>
      <x:c r="H163" s="121"/>
      <x:c r="I163" s="189" t="b">
        <x:v>1</x:v>
      </x:c>
    </x:row>
    <x:row r="164">
      <x:c r="A164" s="121" t="str">
        <x:v>PSU</x:v>
      </x:c>
      <x:c r="B164" s="121" t="str">
        <x:v>weaknesses</x:v>
      </x:c>
      <x:c r="C164" s="121" t="str">
        <x:v>quality.weaknesses</x:v>
      </x:c>
      <x:c r="D164" s="121" t="str">
        <x:v>string_list</x:v>
      </x:c>
      <x:c r="E164" s="189" t="b">
        <x:v>0</x:v>
      </x:c>
      <x:c r="F164" s="121" t="str">
        <x:v>短所。1件1行</x:v>
      </x:c>
      <x:c r="G164" s="121"/>
      <x:c r="H164" s="121"/>
      <x:c r="I164" s="189" t="b">
        <x:v>1</x:v>
      </x:c>
    </x:row>
    <x:row r="165">
      <x:c r="A165" s="121" t="str">
        <x:v>PSU</x:v>
      </x:c>
      <x:c r="B165" s="121" t="str">
        <x:v>risk_summary</x:v>
      </x:c>
      <x:c r="C165" s="121" t="str">
        <x:v>quality.risk_summary</x:v>
      </x:c>
      <x:c r="D165" s="121" t="str">
        <x:v>string</x:v>
      </x:c>
      <x:c r="E165" s="189" t="b">
        <x:v>0</x:v>
      </x:c>
      <x:c r="F165" s="121" t="str">
        <x:v>現在の主要リスク要約</x:v>
      </x:c>
      <x:c r="G165" s="121"/>
      <x:c r="H165" s="121"/>
      <x:c r="I165" s="189" t="b">
        <x:v>1</x:v>
      </x:c>
    </x:row>
    <x:row r="166">
      <x:c r="A166" s="121" t="str">
        <x:v>PSU</x:v>
      </x:c>
      <x:c r="B166" s="121" t="str">
        <x:v>notes</x:v>
      </x:c>
      <x:c r="C166" s="121" t="str">
        <x:v>notes</x:v>
      </x:c>
      <x:c r="D166" s="121" t="str">
        <x:v>string_list</x:v>
      </x:c>
      <x:c r="E166" s="189" t="b">
        <x:v>0</x:v>
      </x:c>
      <x:c r="F166" s="121" t="str">
        <x:v>補足。1件1行</x:v>
      </x:c>
      <x:c r="G166" s="121"/>
      <x:c r="H166" s="121"/>
      <x:c r="I166" s="189" t="b">
        <x:v>1</x:v>
      </x:c>
    </x:row>
    <x:row r="167">
      <x:c r="A167" s="121" t="str">
        <x:v>PSU</x:v>
      </x:c>
      <x:c r="B167" s="121" t="str">
        <x:v>wattage</x:v>
      </x:c>
      <x:c r="C167" s="121" t="str">
        <x:v>specs.wattage</x:v>
      </x:c>
      <x:c r="D167" s="121" t="str">
        <x:v>integer</x:v>
      </x:c>
      <x:c r="E167" s="189" t="b">
        <x:v>0</x:v>
      </x:c>
      <x:c r="F167" s="121" t="str">
        <x:v>定格容量</x:v>
      </x:c>
      <x:c r="G167" s="121" t="str">
        <x:v>W</x:v>
      </x:c>
      <x:c r="H167" s="121"/>
      <x:c r="I167" s="189" t="b">
        <x:v>1</x:v>
      </x:c>
    </x:row>
    <x:row r="168">
      <x:c r="A168" s="121" t="str">
        <x:v>PSU</x:v>
      </x:c>
      <x:c r="B168" s="121" t="str">
        <x:v>atx_version</x:v>
      </x:c>
      <x:c r="C168" s="121" t="str">
        <x:v>specs.atx_version</x:v>
      </x:c>
      <x:c r="D168" s="121" t="str">
        <x:v>string</x:v>
      </x:c>
      <x:c r="E168" s="189" t="b">
        <x:v>0</x:v>
      </x:c>
      <x:c r="F168" s="121" t="str">
        <x:v>ATX規格</x:v>
      </x:c>
      <x:c r="G168" s="121"/>
      <x:c r="H168" s="121" t="str">
        <x:v>AtxVersion</x:v>
      </x:c>
      <x:c r="I168" s="189" t="b">
        <x:v>1</x:v>
      </x:c>
    </x:row>
    <x:row r="169">
      <x:c r="A169" s="121" t="str">
        <x:v>PSU</x:v>
      </x:c>
      <x:c r="B169" s="121" t="str">
        <x:v>native_12v2x6</x:v>
      </x:c>
      <x:c r="C169" s="121" t="str">
        <x:v>specs.native_12v2x6</x:v>
      </x:c>
      <x:c r="D169" s="121" t="str">
        <x:v>boolean</x:v>
      </x:c>
      <x:c r="E169" s="189" t="b">
        <x:v>0</x:v>
      </x:c>
      <x:c r="F169" s="121" t="str">
        <x:v>ネイティブ12V-2x6</x:v>
      </x:c>
      <x:c r="G169" s="121"/>
      <x:c r="H169" s="121" t="str">
        <x:v>Boolean</x:v>
      </x:c>
      <x:c r="I169" s="189" t="b">
        <x:v>1</x:v>
      </x:c>
    </x:row>
    <x:row r="170">
      <x:c r="A170" s="121" t="str">
        <x:v>PSU</x:v>
      </x:c>
      <x:c r="B170" s="121" t="str">
        <x:v>warranty_years</x:v>
      </x:c>
      <x:c r="C170" s="121" t="str">
        <x:v>specs.warranty_years</x:v>
      </x:c>
      <x:c r="D170" s="121" t="str">
        <x:v>number</x:v>
      </x:c>
      <x:c r="E170" s="189" t="b">
        <x:v>0</x:v>
      </x:c>
      <x:c r="F170" s="121" t="str">
        <x:v>保証期間</x:v>
      </x:c>
      <x:c r="G170" s="121" t="str">
        <x:v>years</x:v>
      </x:c>
      <x:c r="H170" s="121"/>
      <x:c r="I170" s="189" t="b">
        <x:v>1</x:v>
      </x:c>
    </x:row>
    <x:row r="171">
      <x:c r="A171" s="121" t="str">
        <x:v>PSU</x:v>
      </x:c>
      <x:c r="B171" s="121" t="str">
        <x:v>protection_set_complete</x:v>
      </x:c>
      <x:c r="C171" s="121" t="str">
        <x:v>specs.protection_set_complete</x:v>
      </x:c>
      <x:c r="D171" s="121" t="str">
        <x:v>boolean</x:v>
      </x:c>
      <x:c r="E171" s="189" t="b">
        <x:v>0</x:v>
      </x:c>
      <x:c r="F171" s="121" t="str">
        <x:v>主要保護回路一式</x:v>
      </x:c>
      <x:c r="G171" s="121"/>
      <x:c r="H171" s="121" t="str">
        <x:v>Boolean</x:v>
      </x:c>
      <x:c r="I171" s="189" t="b">
        <x:v>1</x:v>
      </x:c>
    </x:row>
    <x:row r="172">
      <x:c r="A172" s="121" t="str">
        <x:v>PSU</x:v>
      </x:c>
      <x:c r="B172" s="121" t="str">
        <x:v>efficiency_230v_tier</x:v>
      </x:c>
      <x:c r="C172" s="121" t="str">
        <x:v>specs.efficiency_230v_tier</x:v>
      </x:c>
      <x:c r="D172" s="121" t="str">
        <x:v>string</x:v>
      </x:c>
      <x:c r="E172" s="189" t="b">
        <x:v>0</x:v>
      </x:c>
      <x:c r="F172" s="121" t="str">
        <x:v>230V効率Tier</x:v>
      </x:c>
      <x:c r="G172" s="121"/>
      <x:c r="H172" s="121" t="str">
        <x:v>EfficiencyTier</x:v>
      </x:c>
      <x:c r="I172" s="189" t="b">
        <x:v>1</x:v>
      </x:c>
    </x:row>
    <x:row r="173">
      <x:c r="A173" s="121" t="str">
        <x:v>PSU</x:v>
      </x:c>
      <x:c r="B173" s="121" t="str">
        <x:v>noise_tier</x:v>
      </x:c>
      <x:c r="C173" s="121" t="str">
        <x:v>specs.noise_tier</x:v>
      </x:c>
      <x:c r="D173" s="121" t="str">
        <x:v>string</x:v>
      </x:c>
      <x:c r="E173" s="189" t="b">
        <x:v>0</x:v>
      </x:c>
      <x:c r="F173" s="121" t="str">
        <x:v>静音Tier</x:v>
      </x:c>
      <x:c r="G173" s="121"/>
      <x:c r="H173" s="121" t="str">
        <x:v>NoiseTier</x:v>
      </x:c>
      <x:c r="I173" s="189" t="b">
        <x:v>1</x:v>
      </x:c>
    </x:row>
    <x:row r="174">
      <x:c r="A174" s="121" t="str">
        <x:v>PSU</x:v>
      </x:c>
      <x:c r="B174" s="121" t="str">
        <x:v>electrical_performance_tier</x:v>
      </x:c>
      <x:c r="C174" s="121" t="str">
        <x:v>specs.electrical_performance_tier</x:v>
      </x:c>
      <x:c r="D174" s="121" t="str">
        <x:v>string</x:v>
      </x:c>
      <x:c r="E174" s="189" t="b">
        <x:v>0</x:v>
      </x:c>
      <x:c r="F174" s="121" t="str">
        <x:v>電気性能Tier</x:v>
      </x:c>
      <x:c r="G174" s="121"/>
      <x:c r="H174" s="121" t="str">
        <x:v>ElectricalTier</x:v>
      </x:c>
      <x:c r="I174" s="189" t="b">
        <x:v>1</x:v>
      </x:c>
    </x:row>
    <x:row r="175">
      <x:c r="A175" s="121" t="str">
        <x:v>PSU</x:v>
      </x:c>
      <x:c r="B175" s="121" t="str">
        <x:v>form_factor</x:v>
      </x:c>
      <x:c r="C175" s="121" t="str">
        <x:v>specs.form_factor</x:v>
      </x:c>
      <x:c r="D175" s="121" t="str">
        <x:v>string</x:v>
      </x:c>
      <x:c r="E175" s="189" t="b">
        <x:v>0</x:v>
      </x:c>
      <x:c r="F175" s="121" t="str">
        <x:v>フォームファクター</x:v>
      </x:c>
      <x:c r="G175" s="121"/>
      <x:c r="H175" s="121" t="str">
        <x:v>PsuFormFactor</x:v>
      </x:c>
      <x:c r="I175" s="189" t="b">
        <x:v>1</x:v>
      </x:c>
    </x:row>
    <x:row r="176">
      <x:c r="A176" s="121" t="str">
        <x:v>PSU</x:v>
      </x:c>
      <x:c r="B176" s="121" t="str">
        <x:v>length_mm</x:v>
      </x:c>
      <x:c r="C176" s="121" t="str">
        <x:v>specs.length_mm</x:v>
      </x:c>
      <x:c r="D176" s="121" t="str">
        <x:v>number</x:v>
      </x:c>
      <x:c r="E176" s="189" t="b">
        <x:v>0</x:v>
      </x:c>
      <x:c r="F176" s="121" t="str">
        <x:v>電源奥行き</x:v>
      </x:c>
      <x:c r="G176" s="121" t="str">
        <x:v>mm</x:v>
      </x:c>
      <x:c r="H176" s="121"/>
      <x:c r="I176" s="189" t="b">
        <x:v>1</x:v>
      </x:c>
    </x:row>
    <x:row r="177">
      <x:c r="A177" s="121" t="str">
        <x:v>PSU</x:v>
      </x:c>
      <x:c r="B177" s="121" t="str">
        <x:v>modular_type</x:v>
      </x:c>
      <x:c r="C177" s="121" t="str">
        <x:v>specs.modular_type</x:v>
      </x:c>
      <x:c r="D177" s="121" t="str">
        <x:v>string</x:v>
      </x:c>
      <x:c r="E177" s="189" t="b">
        <x:v>0</x:v>
      </x:c>
      <x:c r="F177" s="121" t="str">
        <x:v>ケーブル方式</x:v>
      </x:c>
      <x:c r="G177" s="121"/>
      <x:c r="H177" s="121" t="str">
        <x:v>ModularType</x:v>
      </x:c>
      <x:c r="I177" s="189" t="b">
        <x:v>1</x:v>
      </x:c>
    </x:row>
    <x:row r="178">
      <x:c r="A178" s="121" t="str">
        <x:v>Motherboard</x:v>
      </x:c>
      <x:c r="B178" s="121" t="str">
        <x:v>product_id</x:v>
      </x:c>
      <x:c r="C178" s="121" t="str">
        <x:v>id</x:v>
      </x:c>
      <x:c r="D178" s="121" t="str">
        <x:v>string</x:v>
      </x:c>
      <x:c r="E178" s="189" t="b">
        <x:v>1</x:v>
      </x:c>
      <x:c r="F178" s="121" t="str">
        <x:v>変更しない製品ID。英小文字・数字・ハイフン推奨</x:v>
      </x:c>
      <x:c r="G178" s="121"/>
      <x:c r="H178" s="121"/>
      <x:c r="I178" s="189" t="b">
        <x:v>1</x:v>
      </x:c>
    </x:row>
    <x:row r="179">
      <x:c r="A179" s="121" t="str">
        <x:v>Motherboard</x:v>
      </x:c>
      <x:c r="B179" s="121" t="str">
        <x:v>brand</x:v>
      </x:c>
      <x:c r="C179" s="121" t="str">
        <x:v>brand</x:v>
      </x:c>
      <x:c r="D179" s="121" t="str">
        <x:v>string</x:v>
      </x:c>
      <x:c r="E179" s="189" t="b">
        <x:v>1</x:v>
      </x:c>
      <x:c r="F179" s="121" t="str">
        <x:v>メーカー／ブランド</x:v>
      </x:c>
      <x:c r="G179" s="121"/>
      <x:c r="H179" s="121"/>
      <x:c r="I179" s="189" t="b">
        <x:v>1</x:v>
      </x:c>
    </x:row>
    <x:row r="180">
      <x:c r="A180" s="121" t="str">
        <x:v>Motherboard</x:v>
      </x:c>
      <x:c r="B180" s="121" t="str">
        <x:v>model</x:v>
      </x:c>
      <x:c r="C180" s="121" t="str">
        <x:v>model</x:v>
      </x:c>
      <x:c r="D180" s="121" t="str">
        <x:v>string</x:v>
      </x:c>
      <x:c r="E180" s="189" t="b">
        <x:v>1</x:v>
      </x:c>
      <x:c r="F180" s="121" t="str">
        <x:v>基板リビジョンを含む正式モデル名</x:v>
      </x:c>
      <x:c r="G180" s="121"/>
      <x:c r="H180" s="121"/>
      <x:c r="I180" s="189" t="b">
        <x:v>1</x:v>
      </x:c>
    </x:row>
    <x:row r="181">
      <x:c r="A181" s="121" t="str">
        <x:v>Motherboard</x:v>
      </x:c>
      <x:c r="B181" s="121" t="str">
        <x:v>display_name</x:v>
      </x:c>
      <x:c r="C181" s="121" t="str">
        <x:v>display_name</x:v>
      </x:c>
      <x:c r="D181" s="121" t="str">
        <x:v>string</x:v>
      </x:c>
      <x:c r="E181" s="189" t="b">
        <x:v>0</x:v>
      </x:c>
      <x:c r="F181" s="121" t="str">
        <x:v>人間向け表示名</x:v>
      </x:c>
      <x:c r="G181" s="121"/>
      <x:c r="H181" s="121"/>
      <x:c r="I181" s="189" t="b">
        <x:v>1</x:v>
      </x:c>
    </x:row>
    <x:row r="182">
      <x:c r="A182" s="121" t="str">
        <x:v>Motherboard</x:v>
      </x:c>
      <x:c r="B182" s="121" t="str">
        <x:v>primary_asin</x:v>
      </x:c>
      <x:c r="C182" s="121" t="str">
        <x:v>identifiers.asins</x:v>
      </x:c>
      <x:c r="D182" s="121" t="str">
        <x:v>string_list</x:v>
      </x:c>
      <x:c r="E182" s="189" t="b">
        <x:v>0</x:v>
      </x:c>
      <x:c r="F182" s="121" t="str">
        <x:v>主要ASIN。複数は1件1行</x:v>
      </x:c>
      <x:c r="G182" s="121"/>
      <x:c r="H182" s="121"/>
      <x:c r="I182" s="189" t="b">
        <x:v>1</x:v>
      </x:c>
    </x:row>
    <x:row r="183">
      <x:c r="A183" s="121" t="str">
        <x:v>Motherboard</x:v>
      </x:c>
      <x:c r="B183" s="121" t="str">
        <x:v>primary_jan</x:v>
      </x:c>
      <x:c r="C183" s="121" t="str">
        <x:v>identifiers.jans</x:v>
      </x:c>
      <x:c r="D183" s="121" t="str">
        <x:v>string_list</x:v>
      </x:c>
      <x:c r="E183" s="189" t="b">
        <x:v>0</x:v>
      </x:c>
      <x:c r="F183" s="121" t="str">
        <x:v>主要JAN。複数は1件1行</x:v>
      </x:c>
      <x:c r="G183" s="121"/>
      <x:c r="H183" s="121"/>
      <x:c r="I183" s="189" t="b">
        <x:v>1</x:v>
      </x:c>
    </x:row>
    <x:row r="184">
      <x:c r="A184" s="121" t="str">
        <x:v>Motherboard</x:v>
      </x:c>
      <x:c r="B184" s="121" t="str">
        <x:v>part_number</x:v>
      </x:c>
      <x:c r="C184" s="121" t="str">
        <x:v>identifiers.part_numbers</x:v>
      </x:c>
      <x:c r="D184" s="121" t="str">
        <x:v>string_list</x:v>
      </x:c>
      <x:c r="E184" s="189" t="b">
        <x:v>0</x:v>
      </x:c>
      <x:c r="F184" s="121" t="str">
        <x:v>メーカー部品番号・完全型番。1件1行</x:v>
      </x:c>
      <x:c r="G184" s="121"/>
      <x:c r="H184" s="121"/>
      <x:c r="I184" s="189" t="b">
        <x:v>1</x:v>
      </x:c>
    </x:row>
    <x:row r="185">
      <x:c r="A185" s="121" t="str">
        <x:v>Motherboard</x:v>
      </x:c>
      <x:c r="B185" s="121" t="str">
        <x:v>kakaku_product_id</x:v>
      </x:c>
      <x:c r="C185" s="121" t="str">
        <x:v>identifiers.kakaku_ids</x:v>
      </x:c>
      <x:c r="D185" s="121" t="str">
        <x:v>string_list</x:v>
      </x:c>
      <x:c r="E185" s="189" t="b">
        <x:v>0</x:v>
      </x:c>
      <x:c r="F185" s="121" t="str">
        <x:v>価格.com製品ID。複数は1件1行</x:v>
      </x:c>
      <x:c r="G185" s="121"/>
      <x:c r="H185" s="121"/>
      <x:c r="I185" s="189" t="b">
        <x:v>1</x:v>
      </x:c>
    </x:row>
    <x:row r="186">
      <x:c r="A186" s="121" t="str">
        <x:v>Motherboard</x:v>
      </x:c>
      <x:c r="B186" s="121" t="str">
        <x:v>aliases</x:v>
      </x:c>
      <x:c r="C186" s="121" t="str">
        <x:v>aliases</x:v>
      </x:c>
      <x:c r="D186" s="121" t="str">
        <x:v>string_list</x:v>
      </x:c>
      <x:c r="E186" s="189" t="b">
        <x:v>0</x:v>
      </x:c>
      <x:c r="F186" s="121" t="str">
        <x:v>別名・略称。1件1行</x:v>
      </x:c>
      <x:c r="G186" s="121"/>
      <x:c r="H186" s="121"/>
      <x:c r="I186" s="189" t="b">
        <x:v>1</x:v>
      </x:c>
    </x:row>
    <x:row r="187">
      <x:c r="A187" s="121" t="str">
        <x:v>Motherboard</x:v>
      </x:c>
      <x:c r="B187" s="121" t="str">
        <x:v>status</x:v>
      </x:c>
      <x:c r="C187" s="121" t="str">
        <x:v>quality.status</x:v>
      </x:c>
      <x:c r="D187" s="121" t="str">
        <x:v>string</x:v>
      </x:c>
      <x:c r="E187" s="189" t="b">
        <x:v>1</x:v>
      </x:c>
      <x:c r="F187" s="121" t="str">
        <x:v>品質評価状態</x:v>
      </x:c>
      <x:c r="G187" s="121"/>
      <x:c r="H187" s="121" t="str">
        <x:v>QualityStatus</x:v>
      </x:c>
      <x:c r="I187" s="189" t="b">
        <x:v>1</x:v>
      </x:c>
    </x:row>
    <x:row r="188">
      <x:c r="A188" s="121" t="str">
        <x:v>Motherboard</x:v>
      </x:c>
      <x:c r="B188" s="121" t="str">
        <x:v>tier</x:v>
      </x:c>
      <x:c r="C188" s="121" t="str">
        <x:v>quality.tier</x:v>
      </x:c>
      <x:c r="D188" s="121" t="str">
        <x:v>string</x:v>
      </x:c>
      <x:c r="E188" s="189" t="b">
        <x:v>1</x:v>
      </x:c>
      <x:c r="F188" s="121" t="str">
        <x:v>品質Tier</x:v>
      </x:c>
      <x:c r="G188" s="121"/>
      <x:c r="H188" s="121" t="str">
        <x:v>Tier</x:v>
      </x:c>
      <x:c r="I188" s="189" t="b">
        <x:v>1</x:v>
      </x:c>
    </x:row>
    <x:row r="189">
      <x:c r="A189" s="121" t="str">
        <x:v>Motherboard</x:v>
      </x:c>
      <x:c r="B189" s="121" t="str">
        <x:v>reviewed_at</x:v>
      </x:c>
      <x:c r="C189" s="121" t="str">
        <x:v>quality.reviewed_at</x:v>
      </x:c>
      <x:c r="D189" s="121" t="str">
        <x:v>date</x:v>
      </x:c>
      <x:c r="E189" s="189" t="b">
        <x:v>0</x:v>
      </x:c>
      <x:c r="F189" s="121" t="str">
        <x:v>品質評価日</x:v>
      </x:c>
      <x:c r="G189" s="121"/>
      <x:c r="H189" s="121"/>
      <x:c r="I189" s="189" t="b">
        <x:v>1</x:v>
      </x:c>
    </x:row>
    <x:row r="190">
      <x:c r="A190" s="121" t="str">
        <x:v>Motherboard</x:v>
      </x:c>
      <x:c r="B190" s="121" t="str">
        <x:v>quality_summary</x:v>
      </x:c>
      <x:c r="C190" s="121" t="str">
        <x:v>quality.summary</x:v>
      </x:c>
      <x:c r="D190" s="121" t="str">
        <x:v>string</x:v>
      </x:c>
      <x:c r="E190" s="189" t="b">
        <x:v>0</x:v>
      </x:c>
      <x:c r="F190" s="121" t="str">
        <x:v>総合評価の要約</x:v>
      </x:c>
      <x:c r="G190" s="121"/>
      <x:c r="H190" s="121"/>
      <x:c r="I190" s="189" t="b">
        <x:v>1</x:v>
      </x:c>
    </x:row>
    <x:row r="191">
      <x:c r="A191" s="121" t="str">
        <x:v>Motherboard</x:v>
      </x:c>
      <x:c r="B191" s="121" t="str">
        <x:v>strengths</x:v>
      </x:c>
      <x:c r="C191" s="121" t="str">
        <x:v>quality.strengths</x:v>
      </x:c>
      <x:c r="D191" s="121" t="str">
        <x:v>string_list</x:v>
      </x:c>
      <x:c r="E191" s="189" t="b">
        <x:v>0</x:v>
      </x:c>
      <x:c r="F191" s="121" t="str">
        <x:v>長所。1件1行</x:v>
      </x:c>
      <x:c r="G191" s="121"/>
      <x:c r="H191" s="121"/>
      <x:c r="I191" s="189" t="b">
        <x:v>1</x:v>
      </x:c>
    </x:row>
    <x:row r="192">
      <x:c r="A192" s="121" t="str">
        <x:v>Motherboard</x:v>
      </x:c>
      <x:c r="B192" s="121" t="str">
        <x:v>weaknesses</x:v>
      </x:c>
      <x:c r="C192" s="121" t="str">
        <x:v>quality.weaknesses</x:v>
      </x:c>
      <x:c r="D192" s="121" t="str">
        <x:v>string_list</x:v>
      </x:c>
      <x:c r="E192" s="189" t="b">
        <x:v>0</x:v>
      </x:c>
      <x:c r="F192" s="121" t="str">
        <x:v>短所。1件1行</x:v>
      </x:c>
      <x:c r="G192" s="121"/>
      <x:c r="H192" s="121"/>
      <x:c r="I192" s="189" t="b">
        <x:v>1</x:v>
      </x:c>
    </x:row>
    <x:row r="193">
      <x:c r="A193" s="121" t="str">
        <x:v>Motherboard</x:v>
      </x:c>
      <x:c r="B193" s="121" t="str">
        <x:v>risk_summary</x:v>
      </x:c>
      <x:c r="C193" s="121" t="str">
        <x:v>quality.risk_summary</x:v>
      </x:c>
      <x:c r="D193" s="121" t="str">
        <x:v>string</x:v>
      </x:c>
      <x:c r="E193" s="189" t="b">
        <x:v>0</x:v>
      </x:c>
      <x:c r="F193" s="121" t="str">
        <x:v>現在の主要リスク要約</x:v>
      </x:c>
      <x:c r="G193" s="121"/>
      <x:c r="H193" s="121"/>
      <x:c r="I193" s="189" t="b">
        <x:v>1</x:v>
      </x:c>
    </x:row>
    <x:row r="194">
      <x:c r="A194" s="121" t="str">
        <x:v>Motherboard</x:v>
      </x:c>
      <x:c r="B194" s="121" t="str">
        <x:v>notes</x:v>
      </x:c>
      <x:c r="C194" s="121" t="str">
        <x:v>notes</x:v>
      </x:c>
      <x:c r="D194" s="121" t="str">
        <x:v>string_list</x:v>
      </x:c>
      <x:c r="E194" s="189" t="b">
        <x:v>0</x:v>
      </x:c>
      <x:c r="F194" s="121" t="str">
        <x:v>補足。1件1行</x:v>
      </x:c>
      <x:c r="G194" s="121"/>
      <x:c r="H194" s="121"/>
      <x:c r="I194" s="189" t="b">
        <x:v>1</x:v>
      </x:c>
    </x:row>
    <x:row r="195">
      <x:c r="A195" s="121" t="str">
        <x:v>Motherboard</x:v>
      </x:c>
      <x:c r="B195" s="121" t="str">
        <x:v>release_date</x:v>
      </x:c>
      <x:c r="C195" s="121" t="str">
        <x:v>specs.release_date</x:v>
      </x:c>
      <x:c r="D195" s="121" t="str">
        <x:v>date</x:v>
      </x:c>
      <x:c r="E195" s="189" t="b">
        <x:v>0</x:v>
      </x:c>
      <x:c r="F195" s="121" t="str">
        <x:v>メーカー公式の一般販売開始日。確定日のみ入力</x:v>
      </x:c>
      <x:c r="G195" s="121"/>
      <x:c r="H195" s="121"/>
      <x:c r="I195" s="189" t="b">
        <x:v>1</x:v>
      </x:c>
    </x:row>
    <x:row r="196">
      <x:c r="A196" s="121" t="str">
        <x:v>Motherboard</x:v>
      </x:c>
      <x:c r="B196" s="121" t="str">
        <x:v>launch_period</x:v>
      </x:c>
      <x:c r="C196" s="121" t="str">
        <x:v>specs.launch_period</x:v>
      </x:c>
      <x:c r="D196" s="121" t="str">
        <x:v>string</x:v>
      </x:c>
      <x:c r="E196" s="189" t="b">
        <x:v>0</x:v>
      </x:c>
      <x:c r="F196" s="121" t="str">
        <x:v>日付未確定時の発売月・四半期</x:v>
      </x:c>
      <x:c r="G196" s="121"/>
      <x:c r="H196" s="121"/>
      <x:c r="I196" s="189" t="b">
        <x:v>1</x:v>
      </x:c>
    </x:row>
    <x:row r="197">
      <x:c r="A197" s="121" t="str">
        <x:v>Motherboard</x:v>
      </x:c>
      <x:c r="B197" s="121" t="str">
        <x:v>release_date_precision</x:v>
      </x:c>
      <x:c r="C197" s="121" t="str">
        <x:v>specs.release_date_precision</x:v>
      </x:c>
      <x:c r="D197" s="121" t="str">
        <x:v>string</x:v>
      </x:c>
      <x:c r="E197" s="189" t="b">
        <x:v>0</x:v>
      </x:c>
      <x:c r="F197" s="121" t="str">
        <x:v>発売情報の精度</x:v>
      </x:c>
      <x:c r="G197" s="121"/>
      <x:c r="H197" s="121" t="str">
        <x:v>ReleasePrecision</x:v>
      </x:c>
      <x:c r="I197" s="189" t="b">
        <x:v>1</x:v>
      </x:c>
    </x:row>
    <x:row r="198">
      <x:c r="A198" s="121" t="str">
        <x:v>Motherboard</x:v>
      </x:c>
      <x:c r="B198" s="121" t="str">
        <x:v>board_revision</x:v>
      </x:c>
      <x:c r="C198" s="121" t="str">
        <x:v>specs.board_revision</x:v>
      </x:c>
      <x:c r="D198" s="121" t="str">
        <x:v>string</x:v>
      </x:c>
      <x:c r="E198" s="189" t="b">
        <x:v>0</x:v>
      </x:c>
      <x:c r="F198" s="121" t="str">
        <x:v>基板リビジョン。仕様差がある場合は製品を分ける</x:v>
      </x:c>
      <x:c r="G198" s="121"/>
      <x:c r="H198" s="121"/>
      <x:c r="I198" s="189" t="b">
        <x:v>1</x:v>
      </x:c>
    </x:row>
    <x:row r="199">
      <x:c r="A199" s="121" t="str">
        <x:v>Motherboard</x:v>
      </x:c>
      <x:c r="B199" s="121" t="str">
        <x:v>socket</x:v>
      </x:c>
      <x:c r="C199" s="121" t="str">
        <x:v>specs.socket</x:v>
      </x:c>
      <x:c r="D199" s="121" t="str">
        <x:v>string</x:v>
      </x:c>
      <x:c r="E199" s="189" t="b">
        <x:v>0</x:v>
      </x:c>
      <x:c r="F199" s="121" t="str">
        <x:v>CPUソケット</x:v>
      </x:c>
      <x:c r="G199" s="121"/>
      <x:c r="H199" s="121" t="str">
        <x:v>Socket</x:v>
      </x:c>
      <x:c r="I199" s="189" t="b">
        <x:v>1</x:v>
      </x:c>
    </x:row>
    <x:row r="200">
      <x:c r="A200" s="121" t="str">
        <x:v>Motherboard</x:v>
      </x:c>
      <x:c r="B200" s="121" t="str">
        <x:v>chipset</x:v>
      </x:c>
      <x:c r="C200" s="121" t="str">
        <x:v>specs.chipset</x:v>
      </x:c>
      <x:c r="D200" s="121" t="str">
        <x:v>string</x:v>
      </x:c>
      <x:c r="E200" s="189" t="b">
        <x:v>0</x:v>
      </x:c>
      <x:c r="F200" s="121" t="str">
        <x:v>チップセット</x:v>
      </x:c>
      <x:c r="G200" s="121"/>
      <x:c r="H200" s="121"/>
      <x:c r="I200" s="189" t="b">
        <x:v>1</x:v>
      </x:c>
    </x:row>
    <x:row r="201">
      <x:c r="A201" s="121" t="str">
        <x:v>Motherboard</x:v>
      </x:c>
      <x:c r="B201" s="121" t="str">
        <x:v>memory_type</x:v>
      </x:c>
      <x:c r="C201" s="121" t="str">
        <x:v>specs.memory_type</x:v>
      </x:c>
      <x:c r="D201" s="121" t="str">
        <x:v>string</x:v>
      </x:c>
      <x:c r="E201" s="189" t="b">
        <x:v>0</x:v>
      </x:c>
      <x:c r="F201" s="121" t="str">
        <x:v>対応メモリ規格</x:v>
      </x:c>
      <x:c r="G201" s="121"/>
      <x:c r="H201" s="121" t="str">
        <x:v>MemoryType</x:v>
      </x:c>
      <x:c r="I201" s="189" t="b">
        <x:v>1</x:v>
      </x:c>
    </x:row>
    <x:row r="202">
      <x:c r="A202" s="121" t="str">
        <x:v>Motherboard</x:v>
      </x:c>
      <x:c r="B202" s="121" t="str">
        <x:v>form_factor</x:v>
      </x:c>
      <x:c r="C202" s="121" t="str">
        <x:v>specs.form_factor</x:v>
      </x:c>
      <x:c r="D202" s="121" t="str">
        <x:v>string</x:v>
      </x:c>
      <x:c r="E202" s="189" t="b">
        <x:v>0</x:v>
      </x:c>
      <x:c r="F202" s="121" t="str">
        <x:v>基板フォームファクタ</x:v>
      </x:c>
      <x:c r="G202" s="121"/>
      <x:c r="H202" s="121" t="str">
        <x:v>BoardFormFactor</x:v>
      </x:c>
      <x:c r="I202" s="189" t="b">
        <x:v>1</x:v>
      </x:c>
    </x:row>
    <x:row r="203">
      <x:c r="A203" s="121" t="str">
        <x:v>Motherboard</x:v>
      </x:c>
      <x:c r="B203" s="121" t="str">
        <x:v>cpu_support_scope</x:v>
      </x:c>
      <x:c r="C203" s="121" t="str">
        <x:v>specs.cpu_support_scope</x:v>
      </x:c>
      <x:c r="D203" s="121" t="str">
        <x:v>string_list</x:v>
      </x:c>
      <x:c r="E203" s="189" t="b">
        <x:v>0</x:v>
      </x:c>
      <x:c r="F203" s="121" t="str">
        <x:v>公式対応CPU世代。1件1行</x:v>
      </x:c>
      <x:c r="G203" s="121"/>
      <x:c r="H203" s="121"/>
      <x:c r="I203" s="189" t="b">
        <x:v>1</x:v>
      </x:c>
    </x:row>
    <x:row r="204">
      <x:c r="A204" s="121" t="str">
        <x:v>Motherboard</x:v>
      </x:c>
      <x:c r="B204" s="121" t="str">
        <x:v>memory_slots</x:v>
      </x:c>
      <x:c r="C204" s="121" t="str">
        <x:v>specs.memory_slots</x:v>
      </x:c>
      <x:c r="D204" s="121" t="str">
        <x:v>integer</x:v>
      </x:c>
      <x:c r="E204" s="189" t="b">
        <x:v>0</x:v>
      </x:c>
      <x:c r="F204" s="121" t="str">
        <x:v>DIMMスロット数</x:v>
      </x:c>
      <x:c r="G204" s="121" t="str">
        <x:v>slots</x:v>
      </x:c>
      <x:c r="H204" s="121"/>
      <x:c r="I204" s="189" t="b">
        <x:v>1</x:v>
      </x:c>
    </x:row>
    <x:row r="205">
      <x:c r="A205" s="121" t="str">
        <x:v>Motherboard</x:v>
      </x:c>
      <x:c r="B205" s="121" t="str">
        <x:v>max_memory_gb</x:v>
      </x:c>
      <x:c r="C205" s="121" t="str">
        <x:v>specs.max_memory_gb</x:v>
      </x:c>
      <x:c r="D205" s="121" t="str">
        <x:v>integer</x:v>
      </x:c>
      <x:c r="E205" s="189" t="b">
        <x:v>0</x:v>
      </x:c>
      <x:c r="F205" s="121" t="str">
        <x:v>最大メモリ容量</x:v>
      </x:c>
      <x:c r="G205" s="121" t="str">
        <x:v>GB</x:v>
      </x:c>
      <x:c r="H205" s="121"/>
      <x:c r="I205" s="189" t="b">
        <x:v>1</x:v>
      </x:c>
    </x:row>
    <x:row r="206">
      <x:c r="A206" s="121" t="str">
        <x:v>Motherboard</x:v>
      </x:c>
      <x:c r="B206" s="121" t="str">
        <x:v>jedec_max_mt_s</x:v>
      </x:c>
      <x:c r="C206" s="121" t="str">
        <x:v>specs.jedec_max_mt_s</x:v>
      </x:c>
      <x:c r="D206" s="121" t="str">
        <x:v>integer</x:v>
      </x:c>
      <x:c r="E206" s="189" t="b">
        <x:v>0</x:v>
      </x:c>
      <x:c r="F206" s="121" t="str">
        <x:v>OCなしの公式最大JEDECデータレート</x:v>
      </x:c>
      <x:c r="G206" s="121" t="str">
        <x:v>MT/s</x:v>
      </x:c>
      <x:c r="H206" s="121"/>
      <x:c r="I206" s="189" t="b">
        <x:v>1</x:v>
      </x:c>
    </x:row>
    <x:row r="207">
      <x:c r="A207" s="121" t="str">
        <x:v>Motherboard</x:v>
      </x:c>
      <x:c r="B207" s="121" t="str">
        <x:v>memory_oc_max_mt_s</x:v>
      </x:c>
      <x:c r="C207" s="121" t="str">
        <x:v>specs.memory_oc_max_mt_s</x:v>
      </x:c>
      <x:c r="D207" s="121" t="str">
        <x:v>integer</x:v>
      </x:c>
      <x:c r="E207" s="189" t="b">
        <x:v>0</x:v>
      </x:c>
      <x:c r="F207" s="121" t="str">
        <x:v>公式最大OCデータレート</x:v>
      </x:c>
      <x:c r="G207" s="121" t="str">
        <x:v>MT/s</x:v>
      </x:c>
      <x:c r="H207" s="121"/>
      <x:c r="I207" s="189" t="b">
        <x:v>1</x:v>
      </x:c>
    </x:row>
    <x:row r="208">
      <x:c r="A208" s="121" t="str">
        <x:v>Motherboard</x:v>
      </x:c>
      <x:c r="B208" s="121" t="str">
        <x:v>memory_profile_support</x:v>
      </x:c>
      <x:c r="C208" s="121" t="str">
        <x:v>specs.memory_profile_support</x:v>
      </x:c>
      <x:c r="D208" s="121" t="str">
        <x:v>string_list</x:v>
      </x:c>
      <x:c r="E208" s="189" t="b">
        <x:v>0</x:v>
      </x:c>
      <x:c r="F208" s="121" t="str">
        <x:v>EXPO/XMP対応。1件1行</x:v>
      </x:c>
      <x:c r="G208" s="121"/>
      <x:c r="H208" s="121"/>
      <x:c r="I208" s="189" t="b">
        <x:v>1</x:v>
      </x:c>
    </x:row>
    <x:row r="209">
      <x:c r="A209" s="121" t="str">
        <x:v>Motherboard</x:v>
      </x:c>
      <x:c r="B209" s="121" t="str">
        <x:v>ecc_support</x:v>
      </x:c>
      <x:c r="C209" s="121" t="str">
        <x:v>specs.ecc_support</x:v>
      </x:c>
      <x:c r="D209" s="121" t="str">
        <x:v>string</x:v>
      </x:c>
      <x:c r="E209" s="189" t="b">
        <x:v>0</x:v>
      </x:c>
      <x:c r="F209" s="121" t="str">
        <x:v>ECCの動作条件</x:v>
      </x:c>
      <x:c r="G209" s="121"/>
      <x:c r="H209" s="121" t="str">
        <x:v>EccSupport</x:v>
      </x:c>
      <x:c r="I209" s="189" t="b">
        <x:v>1</x:v>
      </x:c>
    </x:row>
    <x:row r="210">
      <x:c r="A210" s="121" t="str">
        <x:v>Motherboard</x:v>
      </x:c>
      <x:c r="B210" s="121" t="str">
        <x:v>vrm_design</x:v>
      </x:c>
      <x:c r="C210" s="121" t="str">
        <x:v>specs.vrm_design</x:v>
      </x:c>
      <x:c r="D210" s="121" t="str">
        <x:v>string</x:v>
      </x:c>
      <x:c r="E210" s="189" t="b">
        <x:v>0</x:v>
      </x:c>
      <x:c r="F210" s="121" t="str">
        <x:v>メーカー公称VRM構成</x:v>
      </x:c>
      <x:c r="G210" s="121"/>
      <x:c r="H210" s="121"/>
      <x:c r="I210" s="189" t="b">
        <x:v>1</x:v>
      </x:c>
    </x:row>
    <x:row r="211">
      <x:c r="A211" s="121" t="str">
        <x:v>Motherboard</x:v>
      </x:c>
      <x:c r="B211" s="121" t="str">
        <x:v>power_stage_rating_a</x:v>
      </x:c>
      <x:c r="C211" s="121" t="str">
        <x:v>specs.power_stage_rating_a</x:v>
      </x:c>
      <x:c r="D211" s="121" t="str">
        <x:v>number</x:v>
      </x:c>
      <x:c r="E211" s="189" t="b">
        <x:v>0</x:v>
      </x:c>
      <x:c r="F211" s="121" t="str">
        <x:v>メーカー公称パワーステージ定格</x:v>
      </x:c>
      <x:c r="G211" s="121" t="str">
        <x:v>A</x:v>
      </x:c>
      <x:c r="H211" s="121"/>
      <x:c r="I211" s="189" t="b">
        <x:v>1</x:v>
      </x:c>
    </x:row>
    <x:row r="212">
      <x:c r="A212" s="121" t="str">
        <x:v>Motherboard</x:v>
      </x:c>
      <x:c r="B212" s="121" t="str">
        <x:v>eps_connectors</x:v>
      </x:c>
      <x:c r="C212" s="121" t="str">
        <x:v>specs.eps_connectors</x:v>
      </x:c>
      <x:c r="D212" s="121" t="str">
        <x:v>string</x:v>
      </x:c>
      <x:c r="E212" s="189" t="b">
        <x:v>0</x:v>
      </x:c>
      <x:c r="F212" s="121" t="str">
        <x:v>CPU補助電源端子</x:v>
      </x:c>
      <x:c r="G212" s="121"/>
      <x:c r="H212" s="121"/>
      <x:c r="I212" s="189" t="b">
        <x:v>1</x:v>
      </x:c>
    </x:row>
    <x:row r="213">
      <x:c r="A213" s="121" t="str">
        <x:v>Motherboard</x:v>
      </x:c>
      <x:c r="B213" s="121" t="str">
        <x:v>vrm_sustained_cpu_class</x:v>
      </x:c>
      <x:c r="C213" s="121" t="str">
        <x:v>specs.vrm_sustained_cpu_class</x:v>
      </x:c>
      <x:c r="D213" s="121" t="str">
        <x:v>string</x:v>
      </x:c>
      <x:c r="E213" s="189" t="b">
        <x:v>0</x:v>
      </x:c>
      <x:c r="F213" s="121" t="str">
        <x:v>独立検証に基づく持続負荷CPUクラス</x:v>
      </x:c>
      <x:c r="G213" s="121"/>
      <x:c r="H213" s="121" t="str">
        <x:v>VrmClass</x:v>
      </x:c>
      <x:c r="I213" s="189" t="b">
        <x:v>1</x:v>
      </x:c>
    </x:row>
    <x:row r="214">
      <x:c r="A214" s="121" t="str">
        <x:v>Motherboard</x:v>
      </x:c>
      <x:c r="B214" s="121" t="str">
        <x:v>primary_pcie_generation</x:v>
      </x:c>
      <x:c r="C214" s="121" t="str">
        <x:v>specs.primary_pcie_generation</x:v>
      </x:c>
      <x:c r="D214" s="121" t="str">
        <x:v>integer</x:v>
      </x:c>
      <x:c r="E214" s="189" t="b">
        <x:v>0</x:v>
      </x:c>
      <x:c r="F214" s="121" t="str">
        <x:v>主GPUスロットのPCIe世代</x:v>
      </x:c>
      <x:c r="G214" s="121"/>
      <x:c r="H214" s="121"/>
      <x:c r="I214" s="189" t="b">
        <x:v>1</x:v>
      </x:c>
    </x:row>
    <x:row r="215">
      <x:c r="A215" s="121" t="str">
        <x:v>Motherboard</x:v>
      </x:c>
      <x:c r="B215" s="121" t="str">
        <x:v>primary_pcie_lanes</x:v>
      </x:c>
      <x:c r="C215" s="121" t="str">
        <x:v>specs.primary_pcie_lanes</x:v>
      </x:c>
      <x:c r="D215" s="121" t="str">
        <x:v>integer</x:v>
      </x:c>
      <x:c r="E215" s="189" t="b">
        <x:v>0</x:v>
      </x:c>
      <x:c r="F215" s="121" t="str">
        <x:v>主GPUスロットの最大レーン数</x:v>
      </x:c>
      <x:c r="G215" s="121" t="str">
        <x:v>lanes</x:v>
      </x:c>
      <x:c r="H215" s="121"/>
      <x:c r="I215" s="189" t="b">
        <x:v>1</x:v>
      </x:c>
    </x:row>
    <x:row r="216">
      <x:c r="A216" s="121" t="str">
        <x:v>Motherboard</x:v>
      </x:c>
      <x:c r="B216" s="121" t="str">
        <x:v>pcie_x16_physical_slots</x:v>
      </x:c>
      <x:c r="C216" s="121" t="str">
        <x:v>specs.pcie_x16_physical_slots</x:v>
      </x:c>
      <x:c r="D216" s="121" t="str">
        <x:v>integer</x:v>
      </x:c>
      <x:c r="E216" s="189" t="b">
        <x:v>0</x:v>
      </x:c>
      <x:c r="F216" s="121" t="str">
        <x:v>物理x16長スロット数</x:v>
      </x:c>
      <x:c r="G216" s="121" t="str">
        <x:v>slots</x:v>
      </x:c>
      <x:c r="H216" s="121"/>
      <x:c r="I216" s="189" t="b">
        <x:v>1</x:v>
      </x:c>
    </x:row>
    <x:row r="217">
      <x:c r="A217" s="121" t="str">
        <x:v>Motherboard</x:v>
      </x:c>
      <x:c r="B217" s="121" t="str">
        <x:v>m2_slots</x:v>
      </x:c>
      <x:c r="C217" s="121" t="str">
        <x:v>specs.m2_slots</x:v>
      </x:c>
      <x:c r="D217" s="121" t="str">
        <x:v>integer</x:v>
      </x:c>
      <x:c r="E217" s="189" t="b">
        <x:v>0</x:v>
      </x:c>
      <x:c r="F217" s="121" t="str">
        <x:v>M.2ストレージスロット総数</x:v>
      </x:c>
      <x:c r="G217" s="121" t="str">
        <x:v>slots</x:v>
      </x:c>
      <x:c r="H217" s="121"/>
      <x:c r="I217" s="189" t="b">
        <x:v>1</x:v>
      </x:c>
    </x:row>
    <x:row r="218">
      <x:c r="A218" s="121" t="str">
        <x:v>Motherboard</x:v>
      </x:c>
      <x:c r="B218" s="121" t="str">
        <x:v>pcie5_m2_slots</x:v>
      </x:c>
      <x:c r="C218" s="121" t="str">
        <x:v>specs.pcie5_m2_slots</x:v>
      </x:c>
      <x:c r="D218" s="121" t="str">
        <x:v>integer</x:v>
      </x:c>
      <x:c r="E218" s="189" t="b">
        <x:v>0</x:v>
      </x:c>
      <x:c r="F218" s="121" t="str">
        <x:v>PCIe 5.0 x4対応M.2数</x:v>
      </x:c>
      <x:c r="G218" s="121" t="str">
        <x:v>slots</x:v>
      </x:c>
      <x:c r="H218" s="121"/>
      <x:c r="I218" s="189" t="b">
        <x:v>1</x:v>
      </x:c>
    </x:row>
    <x:row r="219">
      <x:c r="A219" s="121" t="str">
        <x:v>Motherboard</x:v>
      </x:c>
      <x:c r="B219" s="121" t="str">
        <x:v>sata_ports</x:v>
      </x:c>
      <x:c r="C219" s="121" t="str">
        <x:v>specs.sata_ports</x:v>
      </x:c>
      <x:c r="D219" s="121" t="str">
        <x:v>integer</x:v>
      </x:c>
      <x:c r="E219" s="189" t="b">
        <x:v>0</x:v>
      </x:c>
      <x:c r="F219" s="121" t="str">
        <x:v>SATA 6Gb/s端子数</x:v>
      </x:c>
      <x:c r="G219" s="121" t="str">
        <x:v>ports</x:v>
      </x:c>
      <x:c r="H219" s="121"/>
      <x:c r="I219" s="189" t="b">
        <x:v>1</x:v>
      </x:c>
    </x:row>
    <x:row r="220">
      <x:c r="A220" s="121" t="str">
        <x:v>Motherboard</x:v>
      </x:c>
      <x:c r="B220" s="121" t="str">
        <x:v>m2_heatsink_slots</x:v>
      </x:c>
      <x:c r="C220" s="121" t="str">
        <x:v>specs.m2_heatsink_slots</x:v>
      </x:c>
      <x:c r="D220" s="121" t="str">
        <x:v>integer</x:v>
      </x:c>
      <x:c r="E220" s="189" t="b">
        <x:v>0</x:v>
      </x:c>
      <x:c r="F220" s="121" t="str">
        <x:v>付属ヒートシンクで覆えるM.2数</x:v>
      </x:c>
      <x:c r="G220" s="121" t="str">
        <x:v>slots</x:v>
      </x:c>
      <x:c r="H220" s="121"/>
      <x:c r="I220" s="189" t="b">
        <x:v>1</x:v>
      </x:c>
    </x:row>
    <x:row r="221">
      <x:c r="A221" s="121" t="str">
        <x:v>Motherboard</x:v>
      </x:c>
      <x:c r="B221" s="121" t="str">
        <x:v>lane_sharing_severity</x:v>
      </x:c>
      <x:c r="C221" s="121" t="str">
        <x:v>specs.lane_sharing_severity</x:v>
      </x:c>
      <x:c r="D221" s="121" t="str">
        <x:v>string</x:v>
      </x:c>
      <x:c r="E221" s="189" t="b">
        <x:v>0</x:v>
      </x:c>
      <x:c r="F221" s="121" t="str">
        <x:v>レーン共有の影響度</x:v>
      </x:c>
      <x:c r="G221" s="121"/>
      <x:c r="H221" s="121" t="str">
        <x:v>LaneSeverity</x:v>
      </x:c>
      <x:c r="I221" s="189" t="b">
        <x:v>1</x:v>
      </x:c>
    </x:row>
    <x:row r="222">
      <x:c r="A222" s="121" t="str">
        <x:v>Motherboard</x:v>
      </x:c>
      <x:c r="B222" s="121" t="str">
        <x:v>lan_speed_gbps</x:v>
      </x:c>
      <x:c r="C222" s="121" t="str">
        <x:v>specs.lan_speed_gbps</x:v>
      </x:c>
      <x:c r="D222" s="121" t="str">
        <x:v>number</x:v>
      </x:c>
      <x:c r="E222" s="189" t="b">
        <x:v>0</x:v>
      </x:c>
      <x:c r="F222" s="121" t="str">
        <x:v>有線LAN最大速度</x:v>
      </x:c>
      <x:c r="G222" s="121" t="str">
        <x:v>Gbps</x:v>
      </x:c>
      <x:c r="H222" s="121"/>
      <x:c r="I222" s="189" t="b">
        <x:v>1</x:v>
      </x:c>
    </x:row>
    <x:row r="223">
      <x:c r="A223" s="121" t="str">
        <x:v>Motherboard</x:v>
      </x:c>
      <x:c r="B223" s="121" t="str">
        <x:v>lan_controller</x:v>
      </x:c>
      <x:c r="C223" s="121" t="str">
        <x:v>specs.lan_controller</x:v>
      </x:c>
      <x:c r="D223" s="121" t="str">
        <x:v>string</x:v>
      </x:c>
      <x:c r="E223" s="189" t="b">
        <x:v>0</x:v>
      </x:c>
      <x:c r="F223" s="121" t="str">
        <x:v>有線LANコントローラー</x:v>
      </x:c>
      <x:c r="G223" s="121"/>
      <x:c r="H223" s="121"/>
      <x:c r="I223" s="189" t="b">
        <x:v>1</x:v>
      </x:c>
    </x:row>
    <x:row r="224">
      <x:c r="A224" s="121" t="str">
        <x:v>Motherboard</x:v>
      </x:c>
      <x:c r="B224" s="121" t="str">
        <x:v>wifi_generation</x:v>
      </x:c>
      <x:c r="C224" s="121" t="str">
        <x:v>specs.wifi_generation</x:v>
      </x:c>
      <x:c r="D224" s="121" t="str">
        <x:v>string</x:v>
      </x:c>
      <x:c r="E224" s="189" t="b">
        <x:v>0</x:v>
      </x:c>
      <x:c r="F224" s="121" t="str">
        <x:v>無線LAN世代</x:v>
      </x:c>
      <x:c r="G224" s="121"/>
      <x:c r="H224" s="121" t="str">
        <x:v>WiFiGeneration</x:v>
      </x:c>
      <x:c r="I224" s="189" t="b">
        <x:v>1</x:v>
      </x:c>
    </x:row>
    <x:row r="225">
      <x:c r="A225" s="121" t="str">
        <x:v>Motherboard</x:v>
      </x:c>
      <x:c r="B225" s="121" t="str">
        <x:v>wifi_controller</x:v>
      </x:c>
      <x:c r="C225" s="121" t="str">
        <x:v>specs.wifi_controller</x:v>
      </x:c>
      <x:c r="D225" s="121" t="str">
        <x:v>string</x:v>
      </x:c>
      <x:c r="E225" s="189" t="b">
        <x:v>0</x:v>
      </x:c>
      <x:c r="F225" s="121" t="str">
        <x:v>無線LANコントローラー。rev差を分離</x:v>
      </x:c>
      <x:c r="G225" s="121"/>
      <x:c r="H225" s="121"/>
      <x:c r="I225" s="189" t="b">
        <x:v>1</x:v>
      </x:c>
    </x:row>
    <x:row r="226">
      <x:c r="A226" s="121" t="str">
        <x:v>Motherboard</x:v>
      </x:c>
      <x:c r="B226" s="121" t="str">
        <x:v>bluetooth_version</x:v>
      </x:c>
      <x:c r="C226" s="121" t="str">
        <x:v>specs.bluetooth_version</x:v>
      </x:c>
      <x:c r="D226" s="121" t="str">
        <x:v>string</x:v>
      </x:c>
      <x:c r="E226" s="189" t="b">
        <x:v>0</x:v>
      </x:c>
      <x:c r="F226" s="121" t="str">
        <x:v>Bluetoothバージョン</x:v>
      </x:c>
      <x:c r="G226" s="121"/>
      <x:c r="H226" s="121"/>
      <x:c r="I226" s="189" t="b">
        <x:v>1</x:v>
      </x:c>
    </x:row>
    <x:row r="227">
      <x:c r="A227" s="121" t="str">
        <x:v>Motherboard</x:v>
      </x:c>
      <x:c r="B227" s="121" t="str">
        <x:v>audio_codec</x:v>
      </x:c>
      <x:c r="C227" s="121" t="str">
        <x:v>specs.audio_codec</x:v>
      </x:c>
      <x:c r="D227" s="121" t="str">
        <x:v>string</x:v>
      </x:c>
      <x:c r="E227" s="189" t="b">
        <x:v>0</x:v>
      </x:c>
      <x:c r="F227" s="121" t="str">
        <x:v>オーディオCODEC</x:v>
      </x:c>
      <x:c r="G227" s="121"/>
      <x:c r="H227" s="121"/>
      <x:c r="I227" s="189" t="b">
        <x:v>1</x:v>
      </x:c>
    </x:row>
    <x:row r="228">
      <x:c r="A228" s="121" t="str">
        <x:v>Motherboard</x:v>
      </x:c>
      <x:c r="B228" s="121" t="str">
        <x:v>rear_usb_total_count</x:v>
      </x:c>
      <x:c r="C228" s="121" t="str">
        <x:v>specs.rear_usb_total_count</x:v>
      </x:c>
      <x:c r="D228" s="121" t="str">
        <x:v>integer</x:v>
      </x:c>
      <x:c r="E228" s="189" t="b">
        <x:v>0</x:v>
      </x:c>
      <x:c r="F228" s="121" t="str">
        <x:v>背面USB端子総数</x:v>
      </x:c>
      <x:c r="G228" s="121" t="str">
        <x:v>ports</x:v>
      </x:c>
      <x:c r="H228" s="121"/>
      <x:c r="I228" s="189" t="b">
        <x:v>1</x:v>
      </x:c>
    </x:row>
    <x:row r="229">
      <x:c r="A229" s="121" t="str">
        <x:v>Motherboard</x:v>
      </x:c>
      <x:c r="B229" s="121" t="str">
        <x:v>rear_usb_type_a_count</x:v>
      </x:c>
      <x:c r="C229" s="121" t="str">
        <x:v>specs.rear_usb_type_a_count</x:v>
      </x:c>
      <x:c r="D229" s="121" t="str">
        <x:v>integer</x:v>
      </x:c>
      <x:c r="E229" s="189" t="b">
        <x:v>0</x:v>
      </x:c>
      <x:c r="F229" s="121" t="str">
        <x:v>背面USB Type-A数</x:v>
      </x:c>
      <x:c r="G229" s="121" t="str">
        <x:v>ports</x:v>
      </x:c>
      <x:c r="H229" s="121"/>
      <x:c r="I229" s="189" t="b">
        <x:v>1</x:v>
      </x:c>
    </x:row>
    <x:row r="230">
      <x:c r="A230" s="121" t="str">
        <x:v>Motherboard</x:v>
      </x:c>
      <x:c r="B230" s="121" t="str">
        <x:v>rear_usb_type_c_count</x:v>
      </x:c>
      <x:c r="C230" s="121" t="str">
        <x:v>specs.rear_usb_type_c_count</x:v>
      </x:c>
      <x:c r="D230" s="121" t="str">
        <x:v>integer</x:v>
      </x:c>
      <x:c r="E230" s="189" t="b">
        <x:v>0</x:v>
      </x:c>
      <x:c r="F230" s="121" t="str">
        <x:v>背面USB Type-C数</x:v>
      </x:c>
      <x:c r="G230" s="121" t="str">
        <x:v>ports</x:v>
      </x:c>
      <x:c r="H230" s="121"/>
      <x:c r="I230" s="189" t="b">
        <x:v>1</x:v>
      </x:c>
    </x:row>
    <x:row r="231">
      <x:c r="A231" s="121" t="str">
        <x:v>Motherboard</x:v>
      </x:c>
      <x:c r="B231" s="121" t="str">
        <x:v>rear_usb_fastest_gbps</x:v>
      </x:c>
      <x:c r="C231" s="121" t="str">
        <x:v>specs.rear_usb_fastest_gbps</x:v>
      </x:c>
      <x:c r="D231" s="121" t="str">
        <x:v>number</x:v>
      </x:c>
      <x:c r="E231" s="189" t="b">
        <x:v>0</x:v>
      </x:c>
      <x:c r="F231" s="121" t="str">
        <x:v>背面USBプロトコルの最速値。Thunderbolt速度と分離</x:v>
      </x:c>
      <x:c r="G231" s="121" t="str">
        <x:v>Gbps</x:v>
      </x:c>
      <x:c r="H231" s="121"/>
      <x:c r="I231" s="189" t="b">
        <x:v>1</x:v>
      </x:c>
    </x:row>
    <x:row r="232">
      <x:c r="A232" s="121" t="str">
        <x:v>Motherboard</x:v>
      </x:c>
      <x:c r="B232" s="121" t="str">
        <x:v>rear_usb4_type_c_count</x:v>
      </x:c>
      <x:c r="C232" s="121" t="str">
        <x:v>specs.rear_usb4_type_c_count</x:v>
      </x:c>
      <x:c r="D232" s="121" t="str">
        <x:v>integer</x:v>
      </x:c>
      <x:c r="E232" s="189" t="b">
        <x:v>0</x:v>
      </x:c>
      <x:c r="F232" s="121" t="str">
        <x:v>背面USB4対応Type-C数</x:v>
      </x:c>
      <x:c r="G232" s="121" t="str">
        <x:v>ports</x:v>
      </x:c>
      <x:c r="H232" s="121"/>
      <x:c r="I232" s="189" t="b">
        <x:v>1</x:v>
      </x:c>
    </x:row>
    <x:row r="233">
      <x:c r="A233" s="121" t="str">
        <x:v>Motherboard</x:v>
      </x:c>
      <x:c r="B233" s="121" t="str">
        <x:v>rear_usb_official_summary</x:v>
      </x:c>
      <x:c r="C233" s="121" t="str">
        <x:v>specs.rear_usb_official_summary</x:v>
      </x:c>
      <x:c r="D233" s="121" t="str">
        <x:v>string</x:v>
      </x:c>
      <x:c r="E233" s="189" t="b">
        <x:v>0</x:v>
      </x:c>
      <x:c r="F233" s="121" t="str">
        <x:v>公式表記に沿った背面USB要約</x:v>
      </x:c>
      <x:c r="G233" s="121"/>
      <x:c r="H233" s="121"/>
      <x:c r="I233" s="189" t="b">
        <x:v>1</x:v>
      </x:c>
    </x:row>
    <x:row r="234">
      <x:c r="A234" s="121" t="str">
        <x:v>Motherboard</x:v>
      </x:c>
      <x:c r="B234" s="121" t="str">
        <x:v>front_usb_c_header_count</x:v>
      </x:c>
      <x:c r="C234" s="121" t="str">
        <x:v>specs.front_usb_c_header_count</x:v>
      </x:c>
      <x:c r="D234" s="121" t="str">
        <x:v>integer</x:v>
      </x:c>
      <x:c r="E234" s="189" t="b">
        <x:v>0</x:v>
      </x:c>
      <x:c r="F234" s="121" t="str">
        <x:v>フロントUSB-C内部ヘッダー数</x:v>
      </x:c>
      <x:c r="G234" s="121" t="str">
        <x:v>headers</x:v>
      </x:c>
      <x:c r="H234" s="121"/>
      <x:c r="I234" s="189" t="b">
        <x:v>1</x:v>
      </x:c>
    </x:row>
    <x:row r="235">
      <x:c r="A235" s="121" t="str">
        <x:v>Motherboard</x:v>
      </x:c>
      <x:c r="B235" s="121" t="str">
        <x:v>front_usb_c_max_speed_gbps</x:v>
      </x:c>
      <x:c r="C235" s="121" t="str">
        <x:v>specs.front_usb_c_max_speed_gbps</x:v>
      </x:c>
      <x:c r="D235" s="121" t="str">
        <x:v>number</x:v>
      </x:c>
      <x:c r="E235" s="189" t="b">
        <x:v>0</x:v>
      </x:c>
      <x:c r="F235" s="121" t="str">
        <x:v>フロントUSB-C内部ヘッダー最大速度</x:v>
      </x:c>
      <x:c r="G235" s="121" t="str">
        <x:v>Gbps</x:v>
      </x:c>
      <x:c r="H235" s="121"/>
      <x:c r="I235" s="189" t="b">
        <x:v>1</x:v>
      </x:c>
    </x:row>
    <x:row r="236">
      <x:c r="A236" s="121" t="str">
        <x:v>Motherboard</x:v>
      </x:c>
      <x:c r="B236" s="121" t="str">
        <x:v>bios_flashback</x:v>
      </x:c>
      <x:c r="C236" s="121" t="str">
        <x:v>specs.bios_flashback</x:v>
      </x:c>
      <x:c r="D236" s="121" t="str">
        <x:v>boolean</x:v>
      </x:c>
      <x:c r="E236" s="189" t="b">
        <x:v>0</x:v>
      </x:c>
      <x:c r="F236" s="121" t="str">
        <x:v>CPUなしBIOS更新機能</x:v>
      </x:c>
      <x:c r="G236" s="121"/>
      <x:c r="H236" s="121" t="str">
        <x:v>Boolean</x:v>
      </x:c>
      <x:c r="I236" s="189" t="b">
        <x:v>1</x:v>
      </x:c>
    </x:row>
    <x:row r="237">
      <x:c r="A237" s="121" t="str">
        <x:v>Motherboard</x:v>
      </x:c>
      <x:c r="B237" s="121" t="str">
        <x:v>clear_cmos_button</x:v>
      </x:c>
      <x:c r="C237" s="121" t="str">
        <x:v>specs.clear_cmos_button</x:v>
      </x:c>
      <x:c r="D237" s="121" t="str">
        <x:v>boolean</x:v>
      </x:c>
      <x:c r="E237" s="189" t="b">
        <x:v>0</x:v>
      </x:c>
      <x:c r="F237" s="121" t="str">
        <x:v>背面Clear CMOSボタン</x:v>
      </x:c>
      <x:c r="G237" s="121"/>
      <x:c r="H237" s="121" t="str">
        <x:v>Boolean</x:v>
      </x:c>
      <x:c r="I237" s="189" t="b">
        <x:v>1</x:v>
      </x:c>
    </x:row>
    <x:row r="238">
      <x:c r="A238" s="121" t="str">
        <x:v>Motherboard</x:v>
      </x:c>
      <x:c r="B238" s="121" t="str">
        <x:v>dual_bios</x:v>
      </x:c>
      <x:c r="C238" s="121" t="str">
        <x:v>specs.dual_bios</x:v>
      </x:c>
      <x:c r="D238" s="121" t="str">
        <x:v>boolean</x:v>
      </x:c>
      <x:c r="E238" s="189" t="b">
        <x:v>0</x:v>
      </x:c>
      <x:c r="F238" s="121" t="str">
        <x:v>Dual BIOS機能</x:v>
      </x:c>
      <x:c r="G238" s="121"/>
      <x:c r="H238" s="121" t="str">
        <x:v>Boolean</x:v>
      </x:c>
      <x:c r="I238" s="189" t="b">
        <x:v>1</x:v>
      </x:c>
    </x:row>
    <x:row r="239">
      <x:c r="A239" s="121" t="str">
        <x:v>Motherboard</x:v>
      </x:c>
      <x:c r="B239" s="121" t="str">
        <x:v>debug_features</x:v>
      </x:c>
      <x:c r="C239" s="121" t="str">
        <x:v>specs.debug_features</x:v>
      </x:c>
      <x:c r="D239" s="121" t="str">
        <x:v>string_list</x:v>
      </x:c>
      <x:c r="E239" s="189" t="b">
        <x:v>0</x:v>
      </x:c>
      <x:c r="F239" s="121" t="str">
        <x:v>POST診断機能。1件1行</x:v>
      </x:c>
      <x:c r="G239" s="121"/>
      <x:c r="H239" s="121"/>
      <x:c r="I239" s="189" t="b">
        <x:v>1</x:v>
      </x:c>
    </x:row>
    <x:row r="240">
      <x:c r="A240" s="121" t="str">
        <x:v>Motherboard</x:v>
      </x:c>
      <x:c r="B240" s="121" t="str">
        <x:v>fan_headers_total</x:v>
      </x:c>
      <x:c r="C240" s="121" t="str">
        <x:v>specs.fan_headers_total</x:v>
      </x:c>
      <x:c r="D240" s="121" t="str">
        <x:v>integer</x:v>
      </x:c>
      <x:c r="E240" s="189" t="b">
        <x:v>0</x:v>
      </x:c>
      <x:c r="F240" s="121" t="str">
        <x:v>CPU/ケース/ポンプを含むファン系ヘッダー総数</x:v>
      </x:c>
      <x:c r="G240" s="121" t="str">
        <x:v>headers</x:v>
      </x:c>
      <x:c r="H240" s="121"/>
      <x:c r="I240" s="189" t="b">
        <x:v>1</x:v>
      </x:c>
    </x:row>
    <x:row r="241">
      <x:c r="A241" s="121" t="str">
        <x:v>Motherboard</x:v>
      </x:c>
      <x:c r="B241" s="121" t="str">
        <x:v>pump_capable_headers</x:v>
      </x:c>
      <x:c r="C241" s="121" t="str">
        <x:v>specs.pump_capable_headers</x:v>
      </x:c>
      <x:c r="D241" s="121" t="str">
        <x:v>integer</x:v>
      </x:c>
      <x:c r="E241" s="189" t="b">
        <x:v>0</x:v>
      </x:c>
      <x:c r="F241" s="121" t="str">
        <x:v>ポンプ対応ヘッダー数</x:v>
      </x:c>
      <x:c r="G241" s="121" t="str">
        <x:v>headers</x:v>
      </x:c>
      <x:c r="H241" s="121"/>
      <x:c r="I241" s="189" t="b">
        <x:v>1</x:v>
      </x:c>
    </x:row>
    <x:row r="242">
      <x:c r="A242" s="121" t="str">
        <x:v>Motherboard</x:v>
      </x:c>
      <x:c r="B242" s="121" t="str">
        <x:v>pcb_layers</x:v>
      </x:c>
      <x:c r="C242" s="121" t="str">
        <x:v>specs.pcb_layers</x:v>
      </x:c>
      <x:c r="D242" s="121" t="str">
        <x:v>integer</x:v>
      </x:c>
      <x:c r="E242" s="189" t="b">
        <x:v>0</x:v>
      </x:c>
      <x:c r="F242" s="121" t="str">
        <x:v>メーカー公称PCB層数</x:v>
      </x:c>
      <x:c r="G242" s="121" t="str">
        <x:v>layers</x:v>
      </x:c>
      <x:c r="H242" s="121"/>
      <x:c r="I242" s="189" t="b">
        <x:v>1</x:v>
      </x:c>
    </x:row>
    <x:row r="243">
      <x:c r="A243" s="121" t="str">
        <x:v>Motherboard</x:v>
      </x:c>
      <x:c r="B243" s="121" t="str">
        <x:v>domestic_distributor</x:v>
      </x:c>
      <x:c r="C243" s="121" t="str">
        <x:v>specs.domestic_distributor</x:v>
      </x:c>
      <x:c r="D243" s="121" t="str">
        <x:v>string</x:v>
      </x:c>
      <x:c r="E243" s="189" t="b">
        <x:v>0</x:v>
      </x:c>
      <x:c r="F243" s="121" t="str">
        <x:v>国内正規代理店</x:v>
      </x:c>
      <x:c r="G243" s="121"/>
      <x:c r="H243" s="121"/>
      <x:c r="I243" s="189" t="b">
        <x:v>1</x:v>
      </x:c>
    </x:row>
    <x:row r="244">
      <x:c r="A244" s="121" t="str">
        <x:v>Motherboard</x:v>
      </x:c>
      <x:c r="B244" s="121" t="str">
        <x:v>domestic_warranty_years</x:v>
      </x:c>
      <x:c r="C244" s="121" t="str">
        <x:v>specs.domestic_warranty_years</x:v>
      </x:c>
      <x:c r="D244" s="121" t="str">
        <x:v>number</x:v>
      </x:c>
      <x:c r="E244" s="189" t="b">
        <x:v>0</x:v>
      </x:c>
      <x:c r="F244" s="121" t="str">
        <x:v>国内正規流通の保証期間</x:v>
      </x:c>
      <x:c r="G244" s="121" t="str">
        <x:v>years</x:v>
      </x:c>
      <x:c r="H244" s="121"/>
      <x:c r="I244" s="189" t="b">
        <x:v>1</x:v>
      </x:c>
    </x:row>
    <x:row r="245">
      <x:c r="A245" s="121" t="str">
        <x:v>Monitor</x:v>
      </x:c>
      <x:c r="B245" s="121" t="str">
        <x:v>product_id</x:v>
      </x:c>
      <x:c r="C245" s="121" t="str">
        <x:v>id</x:v>
      </x:c>
      <x:c r="D245" s="121" t="str">
        <x:v>string</x:v>
      </x:c>
      <x:c r="E245" s="189" t="b">
        <x:v>1</x:v>
      </x:c>
      <x:c r="F245" s="121" t="str">
        <x:v>変更しない製品ID。英小文字・数字・ハイフン推奨</x:v>
      </x:c>
      <x:c r="G245" s="121"/>
      <x:c r="H245" s="121"/>
      <x:c r="I245" s="189" t="b">
        <x:v>1</x:v>
      </x:c>
    </x:row>
    <x:row r="246">
      <x:c r="A246" s="121" t="str">
        <x:v>Monitor</x:v>
      </x:c>
      <x:c r="B246" s="121" t="str">
        <x:v>brand</x:v>
      </x:c>
      <x:c r="C246" s="121" t="str">
        <x:v>brand</x:v>
      </x:c>
      <x:c r="D246" s="121" t="str">
        <x:v>string</x:v>
      </x:c>
      <x:c r="E246" s="189" t="b">
        <x:v>1</x:v>
      </x:c>
      <x:c r="F246" s="121" t="str">
        <x:v>メーカー／ブランド</x:v>
      </x:c>
      <x:c r="G246" s="121"/>
      <x:c r="H246" s="121"/>
      <x:c r="I246" s="189" t="b">
        <x:v>1</x:v>
      </x:c>
    </x:row>
    <x:row r="247">
      <x:c r="A247" s="121" t="str">
        <x:v>Monitor</x:v>
      </x:c>
      <x:c r="B247" s="121" t="str">
        <x:v>model</x:v>
      </x:c>
      <x:c r="C247" s="121" t="str">
        <x:v>model</x:v>
      </x:c>
      <x:c r="D247" s="121" t="str">
        <x:v>string</x:v>
      </x:c>
      <x:c r="E247" s="189" t="b">
        <x:v>1</x:v>
      </x:c>
      <x:c r="F247" s="121" t="str">
        <x:v>容量や仕様を特定できる正式型番</x:v>
      </x:c>
      <x:c r="G247" s="121"/>
      <x:c r="H247" s="121"/>
      <x:c r="I247" s="189" t="b">
        <x:v>1</x:v>
      </x:c>
    </x:row>
    <x:row r="248">
      <x:c r="A248" s="121" t="str">
        <x:v>Monitor</x:v>
      </x:c>
      <x:c r="B248" s="121" t="str">
        <x:v>display_name</x:v>
      </x:c>
      <x:c r="C248" s="121" t="str">
        <x:v>display_name</x:v>
      </x:c>
      <x:c r="D248" s="121" t="str">
        <x:v>string</x:v>
      </x:c>
      <x:c r="E248" s="189" t="b">
        <x:v>0</x:v>
      </x:c>
      <x:c r="F248" s="121" t="str">
        <x:v>人間向け表示名</x:v>
      </x:c>
      <x:c r="G248" s="121"/>
      <x:c r="H248" s="121"/>
      <x:c r="I248" s="189" t="b">
        <x:v>1</x:v>
      </x:c>
    </x:row>
    <x:row r="249">
      <x:c r="A249" s="121" t="str">
        <x:v>Monitor</x:v>
      </x:c>
      <x:c r="B249" s="121" t="str">
        <x:v>primary_asin</x:v>
      </x:c>
      <x:c r="C249" s="121" t="str">
        <x:v>identifiers.asins</x:v>
      </x:c>
      <x:c r="D249" s="121" t="str">
        <x:v>string_list</x:v>
      </x:c>
      <x:c r="E249" s="189" t="b">
        <x:v>0</x:v>
      </x:c>
      <x:c r="F249" s="121" t="str">
        <x:v>主要ASIN。複数なら改行区切り</x:v>
      </x:c>
      <x:c r="G249" s="121"/>
      <x:c r="H249" s="121"/>
      <x:c r="I249" s="189" t="b">
        <x:v>1</x:v>
      </x:c>
    </x:row>
    <x:row r="250" ht="34" customHeight="1">
      <x:c r="A250" s="121" t="str">
        <x:v>Monitor</x:v>
      </x:c>
      <x:c r="B250" s="121" t="str">
        <x:v>primary_jan</x:v>
      </x:c>
      <x:c r="C250" s="121" t="str">
        <x:v>identifiers.jan</x:v>
      </x:c>
      <x:c r="D250" s="121" t="str">
        <x:v>string_list</x:v>
      </x:c>
      <x:c r="E250" s="189" t="b">
        <x:v>0</x:v>
      </x:c>
      <x:c r="F250" s="121" t="str">
        <x:v>主要JAN。文字列として入力</x:v>
      </x:c>
      <x:c r="G250" s="121"/>
      <x:c r="H250" s="121"/>
      <x:c r="I250" s="189" t="b">
        <x:v>1</x:v>
      </x:c>
    </x:row>
    <x:row r="251">
      <x:c r="A251" s="121" t="str">
        <x:v>Monitor</x:v>
      </x:c>
      <x:c r="B251" s="121" t="str">
        <x:v>part_number</x:v>
      </x:c>
      <x:c r="C251" s="121" t="str">
        <x:v>identifiers.part_numbers</x:v>
      </x:c>
      <x:c r="D251" s="121" t="str">
        <x:v>string_list</x:v>
      </x:c>
      <x:c r="E251" s="189" t="b">
        <x:v>0</x:v>
      </x:c>
      <x:c r="F251" s="121" t="str">
        <x:v>メーカー部品番号</x:v>
      </x:c>
      <x:c r="G251" s="121"/>
      <x:c r="H251" s="121"/>
      <x:c r="I251" s="189" t="b">
        <x:v>1</x:v>
      </x:c>
    </x:row>
    <x:row r="252">
      <x:c r="A252" s="121" t="str">
        <x:v>Monitor</x:v>
      </x:c>
      <x:c r="B252" s="121" t="str">
        <x:v>kakaku_product_id</x:v>
      </x:c>
      <x:c r="C252" s="121" t="str">
        <x:v>identifiers.kakaku_ids</x:v>
      </x:c>
      <x:c r="D252" s="121" t="str">
        <x:v>string_list</x:v>
      </x:c>
      <x:c r="E252" s="189" t="b">
        <x:v>0</x:v>
      </x:c>
      <x:c r="F252" s="121" t="str">
        <x:v>価格.com製品ID</x:v>
      </x:c>
      <x:c r="G252" s="121"/>
      <x:c r="H252" s="121"/>
      <x:c r="I252" s="189" t="b">
        <x:v>1</x:v>
      </x:c>
    </x:row>
    <x:row r="253">
      <x:c r="A253" s="121" t="str">
        <x:v>Monitor</x:v>
      </x:c>
      <x:c r="B253" s="121" t="str">
        <x:v>aliases</x:v>
      </x:c>
      <x:c r="C253" s="121" t="str">
        <x:v>aliases</x:v>
      </x:c>
      <x:c r="D253" s="121" t="str">
        <x:v>string_list</x:v>
      </x:c>
      <x:c r="E253" s="189" t="b">
        <x:v>0</x:v>
      </x:c>
      <x:c r="F253" s="121" t="str">
        <x:v>別名・略称。1件1行</x:v>
      </x:c>
      <x:c r="G253" s="121"/>
      <x:c r="H253" s="121"/>
      <x:c r="I253" s="189" t="b">
        <x:v>1</x:v>
      </x:c>
    </x:row>
    <x:row r="254">
      <x:c r="A254" s="121" t="str">
        <x:v>Monitor</x:v>
      </x:c>
      <x:c r="B254" s="121" t="str">
        <x:v>status</x:v>
      </x:c>
      <x:c r="C254" s="121" t="str">
        <x:v>quality.status</x:v>
      </x:c>
      <x:c r="D254" s="121" t="str">
        <x:v>string</x:v>
      </x:c>
      <x:c r="E254" s="189" t="b">
        <x:v>1</x:v>
      </x:c>
      <x:c r="F254" s="121" t="str">
        <x:v>品質評価状態</x:v>
      </x:c>
      <x:c r="G254" s="121"/>
      <x:c r="H254" s="121" t="str">
        <x:v>QualityStatus</x:v>
      </x:c>
      <x:c r="I254" s="189" t="b">
        <x:v>1</x:v>
      </x:c>
    </x:row>
    <x:row r="255">
      <x:c r="A255" s="121" t="str">
        <x:v>Monitor</x:v>
      </x:c>
      <x:c r="B255" s="121" t="str">
        <x:v>tier</x:v>
      </x:c>
      <x:c r="C255" s="121" t="str">
        <x:v>quality.tier</x:v>
      </x:c>
      <x:c r="D255" s="121" t="str">
        <x:v>string</x:v>
      </x:c>
      <x:c r="E255" s="189" t="b">
        <x:v>1</x:v>
      </x:c>
      <x:c r="F255" s="121" t="str">
        <x:v>品質Tier</x:v>
      </x:c>
      <x:c r="G255" s="121"/>
      <x:c r="H255" s="121" t="str">
        <x:v>Tier</x:v>
      </x:c>
      <x:c r="I255" s="189" t="b">
        <x:v>1</x:v>
      </x:c>
    </x:row>
    <x:row r="256">
      <x:c r="A256" s="121" t="str">
        <x:v>Monitor</x:v>
      </x:c>
      <x:c r="B256" s="121" t="str">
        <x:v>reviewed_at</x:v>
      </x:c>
      <x:c r="C256" s="121" t="str">
        <x:v>quality.reviewed_at</x:v>
      </x:c>
      <x:c r="D256" s="121" t="str">
        <x:v>date</x:v>
      </x:c>
      <x:c r="E256" s="189" t="b">
        <x:v>0</x:v>
      </x:c>
      <x:c r="F256" s="121" t="str">
        <x:v>品質評価日</x:v>
      </x:c>
      <x:c r="G256" s="121"/>
      <x:c r="H256" s="121"/>
      <x:c r="I256" s="189" t="b">
        <x:v>1</x:v>
      </x:c>
    </x:row>
    <x:row r="257">
      <x:c r="A257" s="121" t="str">
        <x:v>Monitor</x:v>
      </x:c>
      <x:c r="B257" s="121" t="str">
        <x:v>quality_summary</x:v>
      </x:c>
      <x:c r="C257" s="121" t="str">
        <x:v>quality.summary</x:v>
      </x:c>
      <x:c r="D257" s="121" t="str">
        <x:v>string</x:v>
      </x:c>
      <x:c r="E257" s="189" t="b">
        <x:v>0</x:v>
      </x:c>
      <x:c r="F257" s="121" t="str">
        <x:v>総合評価の要約</x:v>
      </x:c>
      <x:c r="G257" s="121"/>
      <x:c r="H257" s="121"/>
      <x:c r="I257" s="189" t="b">
        <x:v>1</x:v>
      </x:c>
    </x:row>
    <x:row r="258">
      <x:c r="A258" s="121" t="str">
        <x:v>Monitor</x:v>
      </x:c>
      <x:c r="B258" s="121" t="str">
        <x:v>strengths</x:v>
      </x:c>
      <x:c r="C258" s="121" t="str">
        <x:v>quality.strengths</x:v>
      </x:c>
      <x:c r="D258" s="121" t="str">
        <x:v>string_list</x:v>
      </x:c>
      <x:c r="E258" s="189" t="b">
        <x:v>0</x:v>
      </x:c>
      <x:c r="F258" s="121" t="str">
        <x:v>長所。1件1行</x:v>
      </x:c>
      <x:c r="G258" s="121"/>
      <x:c r="H258" s="121"/>
      <x:c r="I258" s="189" t="b">
        <x:v>1</x:v>
      </x:c>
    </x:row>
    <x:row r="259">
      <x:c r="A259" s="121" t="str">
        <x:v>Monitor</x:v>
      </x:c>
      <x:c r="B259" s="121" t="str">
        <x:v>weaknesses</x:v>
      </x:c>
      <x:c r="C259" s="121" t="str">
        <x:v>quality.weaknesses</x:v>
      </x:c>
      <x:c r="D259" s="121" t="str">
        <x:v>string_list</x:v>
      </x:c>
      <x:c r="E259" s="189" t="b">
        <x:v>0</x:v>
      </x:c>
      <x:c r="F259" s="121" t="str">
        <x:v>短所。1件1行</x:v>
      </x:c>
      <x:c r="G259" s="121"/>
      <x:c r="H259" s="121"/>
      <x:c r="I259" s="189" t="b">
        <x:v>1</x:v>
      </x:c>
    </x:row>
    <x:row r="260">
      <x:c r="A260" s="121" t="str">
        <x:v>Monitor</x:v>
      </x:c>
      <x:c r="B260" s="121" t="str">
        <x:v>risk_summary</x:v>
      </x:c>
      <x:c r="C260" s="121" t="str">
        <x:v>quality.risk_summary</x:v>
      </x:c>
      <x:c r="D260" s="121" t="str">
        <x:v>string</x:v>
      </x:c>
      <x:c r="E260" s="189" t="b">
        <x:v>0</x:v>
      </x:c>
      <x:c r="F260" s="121" t="str">
        <x:v>現在の主要リスク要約</x:v>
      </x:c>
      <x:c r="G260" s="121"/>
      <x:c r="H260" s="121"/>
      <x:c r="I260" s="189" t="b">
        <x:v>1</x:v>
      </x:c>
    </x:row>
    <x:row r="261">
      <x:c r="A261" s="121" t="str">
        <x:v>Monitor</x:v>
      </x:c>
      <x:c r="B261" s="121" t="str">
        <x:v>notes</x:v>
      </x:c>
      <x:c r="C261" s="121" t="str">
        <x:v>notes</x:v>
      </x:c>
      <x:c r="D261" s="121" t="str">
        <x:v>string_list</x:v>
      </x:c>
      <x:c r="E261" s="189" t="b">
        <x:v>0</x:v>
      </x:c>
      <x:c r="F261" s="121" t="str">
        <x:v>補足。1件1行</x:v>
      </x:c>
      <x:c r="G261" s="121"/>
      <x:c r="H261" s="121"/>
      <x:c r="I261" s="189" t="b">
        <x:v>1</x:v>
      </x:c>
    </x:row>
    <x:row r="262">
      <x:c r="A262" s="121" t="str">
        <x:v>Monitor</x:v>
      </x:c>
      <x:c r="B262" s="121" t="str">
        <x:v>size_inch</x:v>
      </x:c>
      <x:c r="C262" s="121" t="str">
        <x:v>specs.size_inch</x:v>
      </x:c>
      <x:c r="D262" s="121" t="str">
        <x:v>number</x:v>
      </x:c>
      <x:c r="E262" s="189" t="b">
        <x:v>0</x:v>
      </x:c>
      <x:c r="F262" s="121" t="str">
        <x:v>画面サイズ</x:v>
      </x:c>
      <x:c r="G262" s="121" t="str">
        <x:v>inch</x:v>
      </x:c>
      <x:c r="H262" s="121"/>
      <x:c r="I262" s="189" t="b">
        <x:v>1</x:v>
      </x:c>
    </x:row>
    <x:row r="263">
      <x:c r="A263" s="121" t="str">
        <x:v>Monitor</x:v>
      </x:c>
      <x:c r="B263" s="121" t="str">
        <x:v>resolution</x:v>
      </x:c>
      <x:c r="C263" s="121" t="str">
        <x:v>specs.resolution</x:v>
      </x:c>
      <x:c r="D263" s="121" t="str">
        <x:v>string</x:v>
      </x:c>
      <x:c r="E263" s="189" t="b">
        <x:v>0</x:v>
      </x:c>
      <x:c r="F263" s="121" t="str">
        <x:v>解像度</x:v>
      </x:c>
      <x:c r="G263" s="121"/>
      <x:c r="H263" s="121" t="str">
        <x:v>Resolution</x:v>
      </x:c>
      <x:c r="I263" s="189" t="b">
        <x:v>1</x:v>
      </x:c>
    </x:row>
    <x:row r="264">
      <x:c r="A264" s="121" t="str">
        <x:v>Monitor</x:v>
      </x:c>
      <x:c r="B264" s="121" t="str">
        <x:v>max_refresh_hz</x:v>
      </x:c>
      <x:c r="C264" s="121" t="str">
        <x:v>specs.max_refresh_hz</x:v>
      </x:c>
      <x:c r="D264" s="121" t="str">
        <x:v>number</x:v>
      </x:c>
      <x:c r="E264" s="189" t="b">
        <x:v>0</x:v>
      </x:c>
      <x:c r="F264" s="121" t="str">
        <x:v>最大リフレッシュレート</x:v>
      </x:c>
      <x:c r="G264" s="121" t="str">
        <x:v>Hz</x:v>
      </x:c>
      <x:c r="H264" s="121"/>
      <x:c r="I264" s="189" t="b">
        <x:v>1</x:v>
      </x:c>
    </x:row>
    <x:row r="265">
      <x:c r="A265" s="121" t="str">
        <x:v>Monitor</x:v>
      </x:c>
      <x:c r="B265" s="121" t="str">
        <x:v>vrr</x:v>
      </x:c>
      <x:c r="C265" s="121" t="str">
        <x:v>specs.vrr</x:v>
      </x:c>
      <x:c r="D265" s="121" t="str">
        <x:v>boolean</x:v>
      </x:c>
      <x:c r="E265" s="189" t="b">
        <x:v>0</x:v>
      </x:c>
      <x:c r="F265" s="121" t="str">
        <x:v>VRR対応</x:v>
      </x:c>
      <x:c r="G265" s="121"/>
      <x:c r="H265" s="121" t="str">
        <x:v>Boolean</x:v>
      </x:c>
      <x:c r="I265" s="189" t="b">
        <x:v>1</x:v>
      </x:c>
    </x:row>
    <x:row r="266">
      <x:c r="A266" s="121" t="str">
        <x:v>Monitor</x:v>
      </x:c>
      <x:c r="B266" s="121" t="str">
        <x:v>measured_response_reviewed</x:v>
      </x:c>
      <x:c r="C266" s="121" t="str">
        <x:v>specs.measured_response_reviewed</x:v>
      </x:c>
      <x:c r="D266" s="121" t="str">
        <x:v>boolean</x:v>
      </x:c>
      <x:c r="E266" s="189" t="b">
        <x:v>0</x:v>
      </x:c>
      <x:c r="F266" s="121" t="str">
        <x:v>実測応答レビュー確認済み</x:v>
      </x:c>
      <x:c r="G266" s="121"/>
      <x:c r="H266" s="121" t="str">
        <x:v>Boolean</x:v>
      </x:c>
      <x:c r="I266" s="189" t="b">
        <x:v>1</x:v>
      </x:c>
    </x:row>
    <x:row r="267">
      <x:c r="A267" s="121" t="str">
        <x:v>Monitor</x:v>
      </x:c>
      <x:c r="B267" s="121" t="str">
        <x:v>average_response_ms</x:v>
      </x:c>
      <x:c r="C267" s="121" t="str">
        <x:v>specs.average_response_ms</x:v>
      </x:c>
      <x:c r="D267" s="121" t="str">
        <x:v>number</x:v>
      </x:c>
      <x:c r="E267" s="189" t="b">
        <x:v>0</x:v>
      </x:c>
      <x:c r="F267" s="121" t="str">
        <x:v>平均応答時間</x:v>
      </x:c>
      <x:c r="G267" s="121" t="str">
        <x:v>ms</x:v>
      </x:c>
      <x:c r="H267" s="121"/>
      <x:c r="I267" s="189" t="b">
        <x:v>1</x:v>
      </x:c>
    </x:row>
    <x:row r="268">
      <x:c r="A268" s="121" t="str">
        <x:v>Monitor</x:v>
      </x:c>
      <x:c r="B268" s="121" t="str">
        <x:v>overshoot_class</x:v>
      </x:c>
      <x:c r="C268" s="121" t="str">
        <x:v>specs.overshoot_class</x:v>
      </x:c>
      <x:c r="D268" s="121" t="str">
        <x:v>string</x:v>
      </x:c>
      <x:c r="E268" s="189" t="b">
        <x:v>0</x:v>
      </x:c>
      <x:c r="F268" s="121" t="str">
        <x:v>オーバーシュートクラス</x:v>
      </x:c>
      <x:c r="G268" s="121"/>
      <x:c r="H268" s="121" t="str">
        <x:v>OvershootClass</x:v>
      </x:c>
      <x:c r="I268" s="189" t="b">
        <x:v>1</x:v>
      </x:c>
    </x:row>
    <x:row r="269">
      <x:c r="A269" s="121" t="str">
        <x:v>Monitor</x:v>
      </x:c>
      <x:c r="B269" s="121" t="str">
        <x:v>brightness_nits</x:v>
      </x:c>
      <x:c r="C269" s="121" t="str">
        <x:v>specs.brightness_nits</x:v>
      </x:c>
      <x:c r="D269" s="121" t="str">
        <x:v>number</x:v>
      </x:c>
      <x:c r="E269" s="189" t="b">
        <x:v>0</x:v>
      </x:c>
      <x:c r="F269" s="121" t="str">
        <x:v>実用輝度</x:v>
      </x:c>
      <x:c r="G269" s="121" t="str">
        <x:v>nits</x:v>
      </x:c>
      <x:c r="H269" s="121"/>
      <x:c r="I269" s="189" t="b">
        <x:v>1</x:v>
      </x:c>
    </x:row>
    <x:row r="270">
      <x:c r="A270" s="121" t="str">
        <x:v>Monitor</x:v>
      </x:c>
      <x:c r="B270" s="121" t="str">
        <x:v>height_adjustment</x:v>
      </x:c>
      <x:c r="C270" s="121" t="str">
        <x:v>specs.height_adjustment</x:v>
      </x:c>
      <x:c r="D270" s="121" t="str">
        <x:v>boolean</x:v>
      </x:c>
      <x:c r="E270" s="189" t="b">
        <x:v>0</x:v>
      </x:c>
      <x:c r="F270" s="121" t="str">
        <x:v>高さ調整</x:v>
      </x:c>
      <x:c r="G270" s="121"/>
      <x:c r="H270" s="121" t="str">
        <x:v>Boolean</x:v>
      </x:c>
      <x:c r="I270" s="189" t="b">
        <x:v>1</x:v>
      </x:c>
    </x:row>
    <x:row r="271">
      <x:c r="A271" s="121" t="str">
        <x:v>Monitor</x:v>
      </x:c>
      <x:c r="B271" s="121" t="str">
        <x:v>warranty_years</x:v>
      </x:c>
      <x:c r="C271" s="121" t="str">
        <x:v>specs.warranty_years</x:v>
      </x:c>
      <x:c r="D271" s="121" t="str">
        <x:v>number</x:v>
      </x:c>
      <x:c r="E271" s="189" t="b">
        <x:v>0</x:v>
      </x:c>
      <x:c r="F271" s="121" t="str">
        <x:v>保証期間</x:v>
      </x:c>
      <x:c r="G271" s="121" t="str">
        <x:v>years</x:v>
      </x:c>
      <x:c r="H271" s="121"/>
      <x:c r="I271" s="189" t="b">
        <x:v>1</x:v>
      </x:c>
    </x:row>
    <x:row r="272">
      <x:c r="A272" s="121" t="str">
        <x:v>Monitor</x:v>
      </x:c>
      <x:c r="B272" s="121" t="str">
        <x:v>panel_type</x:v>
      </x:c>
      <x:c r="C272" s="121" t="str">
        <x:v>specs.panel_type</x:v>
      </x:c>
      <x:c r="D272" s="121" t="str">
        <x:v>string</x:v>
      </x:c>
      <x:c r="E272" s="189" t="b">
        <x:v>0</x:v>
      </x:c>
      <x:c r="F272" s="121" t="str">
        <x:v>パネル方式</x:v>
      </x:c>
      <x:c r="G272" s="121"/>
      <x:c r="H272" s="121" t="str">
        <x:v>PanelType</x:v>
      </x:c>
      <x:c r="I272" s="189" t="b">
        <x:v>1</x:v>
      </x:c>
    </x:row>
    <x:row r="273">
      <x:c r="A273" s="121" t="str">
        <x:v>Monitor</x:v>
      </x:c>
      <x:c r="B273" s="121" t="str">
        <x:v>contrast_ratio</x:v>
      </x:c>
      <x:c r="C273" s="121" t="str">
        <x:v>specs.contrast_ratio</x:v>
      </x:c>
      <x:c r="D273" s="121" t="str">
        <x:v>number</x:v>
      </x:c>
      <x:c r="E273" s="189" t="b">
        <x:v>0</x:v>
      </x:c>
      <x:c r="F273" s="121" t="str">
        <x:v>実測コントラスト比</x:v>
      </x:c>
      <x:c r="G273" s="121" t="str">
        <x:v>ratio</x:v>
      </x:c>
      <x:c r="H273" s="121"/>
      <x:c r="I273" s="189" t="b">
        <x:v>1</x:v>
      </x:c>
    </x:row>
    <x:row r="274">
      <x:c r="A274" s="121" t="str">
        <x:v>Monitor</x:v>
      </x:c>
      <x:c r="B274" s="121" t="str">
        <x:v>color_gamut</x:v>
      </x:c>
      <x:c r="C274" s="121" t="str">
        <x:v>specs.color_gamut</x:v>
      </x:c>
      <x:c r="D274" s="121" t="str">
        <x:v>string</x:v>
      </x:c>
      <x:c r="E274" s="189" t="b">
        <x:v>0</x:v>
      </x:c>
      <x:c r="F274" s="121" t="str">
        <x:v>色域メモ</x:v>
      </x:c>
      <x:c r="G274" s="121"/>
      <x:c r="H274" s="121"/>
      <x:c r="I274" s="189" t="b">
        <x:v>1</x:v>
      </x:c>
    </x:row>
    <x:row r="275">
      <x:c r="A275" s="121" t="str">
        <x:v>Monitor</x:v>
      </x:c>
      <x:c r="B275" s="121" t="str">
        <x:v>inputs</x:v>
      </x:c>
      <x:c r="C275" s="121" t="str">
        <x:v>specs.inputs</x:v>
      </x:c>
      <x:c r="D275" s="121" t="str">
        <x:v>string_list</x:v>
      </x:c>
      <x:c r="E275" s="189" t="b">
        <x:v>0</x:v>
      </x:c>
      <x:c r="F275" s="121" t="str">
        <x:v>映像入力（改行区切り）</x:v>
      </x:c>
      <x:c r="G275" s="121"/>
      <x:c r="H275" s="121"/>
      <x:c r="I275" s="189" t="b">
        <x:v>1</x:v>
      </x:c>
    </x:row>
    <x:row r="276">
      <x:c r="A276" s="121" t="str">
        <x:v>CPU</x:v>
      </x:c>
      <x:c r="B276" s="121" t="str">
        <x:v>release_date</x:v>
      </x:c>
      <x:c r="C276" s="121" t="str">
        <x:v>specs.release_date</x:v>
      </x:c>
      <x:c r="D276" s="121" t="str">
        <x:v>date</x:v>
      </x:c>
      <x:c r="E276" s="189" t="b">
        <x:v>0</x:v>
      </x:c>
      <x:c r="F276" s="121" t="str">
        <x:v>メーカー公式の一般販売開始日。確定日のみ入力</x:v>
      </x:c>
      <x:c r="G276" s="121"/>
      <x:c r="H276" s="121"/>
      <x:c r="I276" s="189" t="b">
        <x:v>1</x:v>
      </x:c>
    </x:row>
    <x:row r="277">
      <x:c r="A277" s="121" t="str">
        <x:v>CPU</x:v>
      </x:c>
      <x:c r="B277" s="121" t="str">
        <x:v>launch_period</x:v>
      </x:c>
      <x:c r="C277" s="121" t="str">
        <x:v>specs.launch_period</x:v>
      </x:c>
      <x:c r="D277" s="121" t="str">
        <x:v>string</x:v>
      </x:c>
      <x:c r="E277" s="189" t="b">
        <x:v>0</x:v>
      </x:c>
      <x:c r="F277" s="121" t="str">
        <x:v>発売時期。日付未確定なら四半期または月を入力</x:v>
      </x:c>
      <x:c r="G277" s="121"/>
      <x:c r="H277" s="121"/>
      <x:c r="I277" s="189" t="b">
        <x:v>1</x:v>
      </x:c>
    </x:row>
    <x:row r="278">
      <x:c r="A278" s="121" t="str">
        <x:v>CPU</x:v>
      </x:c>
      <x:c r="B278" s="121" t="str">
        <x:v>release_date_precision</x:v>
      </x:c>
      <x:c r="C278" s="121" t="str">
        <x:v>specs.release_date_precision</x:v>
      </x:c>
      <x:c r="D278" s="121" t="str">
        <x:v>string</x:v>
      </x:c>
      <x:c r="E278" s="189" t="b">
        <x:v>0</x:v>
      </x:c>
      <x:c r="F278" s="121" t="str">
        <x:v>発売情報の精度（exact/month/quarter/unknown）</x:v>
      </x:c>
      <x:c r="G278" s="121"/>
      <x:c r="H278" s="121"/>
      <x:c r="I278" s="189" t="b">
        <x:v>1</x:v>
      </x:c>
    </x:row>
    <x:row r="279">
      <x:c r="A279" s="121" t="str">
        <x:v>CPU</x:v>
      </x:c>
      <x:c r="B279" s="121" t="str">
        <x:v>series</x:v>
      </x:c>
      <x:c r="C279" s="121" t="str">
        <x:v>specs.series</x:v>
      </x:c>
      <x:c r="D279" s="121" t="str">
        <x:v>string</x:v>
      </x:c>
      <x:c r="E279" s="189" t="b">
        <x:v>0</x:v>
      </x:c>
      <x:c r="F279" s="121" t="str">
        <x:v>製品シリーズ（Ryzen 7、Core i5など）</x:v>
      </x:c>
      <x:c r="G279" s="121"/>
      <x:c r="H279" s="121"/>
      <x:c r="I279" s="189" t="b">
        <x:v>1</x:v>
      </x:c>
    </x:row>
    <x:row r="280">
      <x:c r="A280" s="121" t="str">
        <x:v>CPU</x:v>
      </x:c>
      <x:c r="B280" s="121" t="str">
        <x:v>generation</x:v>
      </x:c>
      <x:c r="C280" s="121" t="str">
        <x:v>specs.generation</x:v>
      </x:c>
      <x:c r="D280" s="121" t="str">
        <x:v>string</x:v>
      </x:c>
      <x:c r="E280" s="189" t="b">
        <x:v>0</x:v>
      </x:c>
      <x:c r="F280" s="121" t="str">
        <x:v>CPU世代・ファミリー</x:v>
      </x:c>
      <x:c r="G280" s="121"/>
      <x:c r="H280" s="121"/>
      <x:c r="I280" s="189" t="b">
        <x:v>1</x:v>
      </x:c>
    </x:row>
    <x:row r="281">
      <x:c r="A281" s="121" t="str">
        <x:v>CPU</x:v>
      </x:c>
      <x:c r="B281" s="121" t="str">
        <x:v>performance_cores</x:v>
      </x:c>
      <x:c r="C281" s="121" t="str">
        <x:v>specs.performance_cores</x:v>
      </x:c>
      <x:c r="D281" s="121" t="str">
        <x:v>integer</x:v>
      </x:c>
      <x:c r="E281" s="189" t="b">
        <x:v>0</x:v>
      </x:c>
      <x:c r="F281" s="121" t="str">
        <x:v>Performance Core数。AMDは全コアを記載</x:v>
      </x:c>
      <x:c r="G281" s="121" t="str">
        <x:v>cores</x:v>
      </x:c>
      <x:c r="H281" s="121"/>
      <x:c r="I281" s="189" t="b">
        <x:v>1</x:v>
      </x:c>
    </x:row>
    <x:row r="282">
      <x:c r="A282" s="121" t="str">
        <x:v>CPU</x:v>
      </x:c>
      <x:c r="B282" s="121" t="str">
        <x:v>efficiency_cores</x:v>
      </x:c>
      <x:c r="C282" s="121" t="str">
        <x:v>specs.efficiency_cores</x:v>
      </x:c>
      <x:c r="D282" s="121" t="str">
        <x:v>integer</x:v>
      </x:c>
      <x:c r="E282" s="189" t="b">
        <x:v>0</x:v>
      </x:c>
      <x:c r="F282" s="121" t="str">
        <x:v>Efficiency Core数。AMDは0</x:v>
      </x:c>
      <x:c r="G282" s="121" t="str">
        <x:v>cores</x:v>
      </x:c>
      <x:c r="H282" s="121"/>
      <x:c r="I282" s="189" t="b">
        <x:v>1</x:v>
      </x:c>
    </x:row>
    <x:row r="283">
      <x:c r="A283" s="121" t="str">
        <x:v>CPU</x:v>
      </x:c>
      <x:c r="B283" s="121" t="str">
        <x:v>total_cache_mb</x:v>
      </x:c>
      <x:c r="C283" s="121" t="str">
        <x:v>specs.total_cache_mb</x:v>
      </x:c>
      <x:c r="D283" s="121" t="str">
        <x:v>number</x:v>
      </x:c>
      <x:c r="E283" s="189" t="b">
        <x:v>0</x:v>
      </x:c>
      <x:c r="F283" s="121" t="str">
        <x:v>メーカー公称キャッシュ容量。確認できた型番のみ</x:v>
      </x:c>
      <x:c r="G283" s="121" t="str">
        <x:v>MB</x:v>
      </x:c>
      <x:c r="H283" s="121"/>
      <x:c r="I283" s="189" t="b">
        <x:v>1</x:v>
      </x:c>
    </x:row>
    <x:row r="284">
      <x:c r="A284" s="121" t="str">
        <x:v>CPU</x:v>
      </x:c>
      <x:c r="B284" s="121" t="str">
        <x:v>passmark_cpu_mark</x:v>
      </x:c>
      <x:c r="C284" s="121" t="str">
        <x:v>specs.passmark_cpu_mark</x:v>
      </x:c>
      <x:c r="D284" s="121" t="str">
        <x:v>integer</x:v>
      </x:c>
      <x:c r="E284" s="189" t="b">
        <x:v>0</x:v>
      </x:c>
      <x:c r="F284" s="121" t="str">
        <x:v>PassMark CPU Mark総合性能（確認日時点）</x:v>
      </x:c>
      <x:c r="G284" s="121" t="str">
        <x:v>points</x:v>
      </x:c>
      <x:c r="H284" s="121"/>
      <x:c r="I284" s="189" t="b">
        <x:v>1</x:v>
      </x:c>
    </x:row>
    <x:row r="285">
      <x:c r="A285" s="121" t="str">
        <x:v>CPU</x:v>
      </x:c>
      <x:c r="B285" s="121" t="str">
        <x:v>passmark_single_thread_mark</x:v>
      </x:c>
      <x:c r="C285" s="121" t="str">
        <x:v>specs.passmark_single_thread_mark</x:v>
      </x:c>
      <x:c r="D285" s="121" t="str">
        <x:v>integer</x:v>
      </x:c>
      <x:c r="E285" s="189" t="b">
        <x:v>0</x:v>
      </x:c>
      <x:c r="F285" s="121" t="str">
        <x:v>PassMark Single Thread Rating（確認日時点）</x:v>
      </x:c>
      <x:c r="G285" s="121" t="str">
        <x:v>points</x:v>
      </x:c>
      <x:c r="H285" s="121"/>
      <x:c r="I285" s="189" t="b">
        <x:v>1</x:v>
      </x:c>
    </x:row>
    <x:row r="286">
      <x:c r="A286" s="121" t="str">
        <x:v>CPU</x:v>
      </x:c>
      <x:c r="B286" s="121" t="str">
        <x:v>passmark_checked_at</x:v>
      </x:c>
      <x:c r="C286" s="121" t="str">
        <x:v>specs.passmark_checked_at</x:v>
      </x:c>
      <x:c r="D286" s="121" t="str">
        <x:v>date</x:v>
      </x:c>
      <x:c r="E286" s="189" t="b">
        <x:v>0</x:v>
      </x:c>
      <x:c r="F286" s="121" t="str">
        <x:v>PassMark値の確認日</x:v>
      </x:c>
      <x:c r="G286" s="121"/>
      <x:c r="H286" s="121"/>
      <x:c r="I286" s="189" t="b">
        <x:v>1</x:v>
      </x:c>
    </x:row>
    <x:row r="287">
      <x:c r="A287" s="121" t="str">
        <x:v>Memory</x:v>
      </x:c>
      <x:c r="B287" s="121" t="str">
        <x:v>default_data_rate_mt_s</x:v>
      </x:c>
      <x:c r="C287" s="121" t="str">
        <x:v>specs.default_data_rate_mt_s</x:v>
      </x:c>
      <x:c r="D287" s="121" t="str">
        <x:v>integer</x:v>
      </x:c>
      <x:c r="E287" s="189" t="b">
        <x:v>0</x:v>
      </x:c>
      <x:c r="F287" s="121" t="str">
        <x:v>OCプロファイル未適用時の標準SPD/JEDECデータレート</x:v>
      </x:c>
      <x:c r="G287" s="121" t="str">
        <x:v>MT/s</x:v>
      </x:c>
      <x:c r="H287" s="121"/>
      <x:c r="I287" s="189" t="b">
        <x:v>1</x:v>
      </x:c>
    </x:row>
    <x:row r="288">
      <x:c r="A288" s="121"/>
      <x:c r="B288" s="121"/>
      <x:c r="C288" s="121"/>
      <x:c r="D288" s="121"/>
      <x:c r="E288" s="121"/>
      <x:c r="F288" s="121"/>
      <x:c r="G288" s="121"/>
      <x:c r="H288" s="121"/>
      <x:c r="I288" s="121"/>
    </x:row>
    <x:row r="289">
      <x:c r="A289" s="121"/>
      <x:c r="B289" s="121"/>
      <x:c r="C289" s="121"/>
      <x:c r="D289" s="121"/>
      <x:c r="E289" s="121"/>
      <x:c r="F289" s="121"/>
      <x:c r="G289" s="121"/>
      <x:c r="H289" s="121"/>
      <x:c r="I289" s="121"/>
    </x:row>
    <x:row r="290">
      <x:c r="A290" s="121"/>
      <x:c r="B290" s="121"/>
      <x:c r="C290" s="121"/>
      <x:c r="D290" s="121"/>
      <x:c r="E290" s="121"/>
      <x:c r="F290" s="121"/>
      <x:c r="G290" s="121"/>
      <x:c r="H290" s="121"/>
      <x:c r="I290" s="121"/>
    </x:row>
    <x:row r="291">
      <x:c r="A291" s="121"/>
      <x:c r="B291" s="121"/>
      <x:c r="C291" s="121"/>
      <x:c r="D291" s="121"/>
      <x:c r="E291" s="121"/>
      <x:c r="F291" s="121"/>
      <x:c r="G291" s="121"/>
      <x:c r="H291" s="121"/>
      <x:c r="I291" s="121"/>
    </x:row>
    <x:row r="292">
      <x:c r="A292" s="121"/>
      <x:c r="B292" s="121"/>
      <x:c r="C292" s="121"/>
      <x:c r="D292" s="121"/>
      <x:c r="E292" s="121"/>
      <x:c r="F292" s="121"/>
      <x:c r="G292" s="121"/>
      <x:c r="H292" s="121"/>
      <x:c r="I292" s="121"/>
    </x:row>
    <x:row r="293">
      <x:c r="A293" s="121"/>
      <x:c r="B293" s="121"/>
      <x:c r="C293" s="121"/>
      <x:c r="D293" s="121"/>
      <x:c r="E293" s="121"/>
      <x:c r="F293" s="121"/>
      <x:c r="G293" s="121"/>
      <x:c r="H293" s="121"/>
      <x:c r="I293" s="121"/>
    </x:row>
    <x:row r="294">
      <x:c r="A294" s="121"/>
      <x:c r="B294" s="121"/>
      <x:c r="C294" s="121"/>
      <x:c r="D294" s="121"/>
      <x:c r="E294" s="121"/>
      <x:c r="F294" s="121"/>
      <x:c r="G294" s="121"/>
      <x:c r="H294" s="121"/>
      <x:c r="I294" s="121"/>
    </x:row>
    <x:row r="295">
      <x:c r="A295" s="121"/>
      <x:c r="B295" s="121"/>
      <x:c r="C295" s="121"/>
      <x:c r="D295" s="121"/>
      <x:c r="E295" s="121"/>
      <x:c r="F295" s="121"/>
      <x:c r="G295" s="121"/>
      <x:c r="H295" s="121"/>
      <x:c r="I295" s="121"/>
    </x:row>
    <x:row r="296">
      <x:c r="A296" s="121"/>
      <x:c r="B296" s="121"/>
      <x:c r="C296" s="121"/>
      <x:c r="D296" s="121"/>
      <x:c r="E296" s="121"/>
      <x:c r="F296" s="121"/>
      <x:c r="G296" s="121"/>
      <x:c r="H296" s="121"/>
      <x:c r="I296" s="121"/>
    </x:row>
    <x:row r="297">
      <x:c r="A297" s="121"/>
      <x:c r="B297" s="121"/>
      <x:c r="C297" s="121"/>
      <x:c r="D297" s="121"/>
      <x:c r="E297" s="121"/>
      <x:c r="F297" s="121"/>
      <x:c r="G297" s="121"/>
      <x:c r="H297" s="121"/>
      <x:c r="I297" s="121"/>
    </x:row>
    <x:row r="298">
      <x:c r="A298" s="121"/>
      <x:c r="B298" s="121"/>
      <x:c r="C298" s="121"/>
      <x:c r="D298" s="121"/>
      <x:c r="E298" s="121"/>
      <x:c r="F298" s="121"/>
      <x:c r="G298" s="121"/>
      <x:c r="H298" s="121"/>
      <x:c r="I298" s="121"/>
    </x:row>
    <x:row r="299">
      <x:c r="A299" s="121"/>
      <x:c r="B299" s="121"/>
      <x:c r="C299" s="121"/>
      <x:c r="D299" s="121"/>
      <x:c r="E299" s="121"/>
      <x:c r="F299" s="121"/>
      <x:c r="G299" s="121"/>
      <x:c r="H299" s="121"/>
      <x:c r="I299" s="121"/>
    </x:row>
    <x:row r="300">
      <x:c r="A300" s="121"/>
      <x:c r="B300" s="121"/>
      <x:c r="C300" s="121"/>
      <x:c r="D300" s="121"/>
      <x:c r="E300" s="121"/>
      <x:c r="F300" s="121"/>
      <x:c r="G300" s="121"/>
      <x:c r="H300" s="121"/>
      <x:c r="I300" s="121"/>
    </x:row>
    <x:row r="301">
      <x:c r="A301" s="121"/>
      <x:c r="B301" s="121"/>
      <x:c r="C301" s="121"/>
      <x:c r="D301" s="121"/>
      <x:c r="E301" s="121"/>
      <x:c r="F301" s="121"/>
      <x:c r="G301" s="121"/>
      <x:c r="H301" s="121"/>
      <x:c r="I301" s="121"/>
    </x:row>
    <x:row r="302">
      <x:c r="A302" s="121"/>
      <x:c r="B302" s="121"/>
      <x:c r="C302" s="121"/>
      <x:c r="D302" s="121"/>
      <x:c r="E302" s="121"/>
      <x:c r="F302" s="121"/>
      <x:c r="G302" s="121"/>
      <x:c r="H302" s="121"/>
      <x:c r="I302" s="121"/>
    </x:row>
    <x:row r="303">
      <x:c r="A303" s="121"/>
      <x:c r="B303" s="121"/>
      <x:c r="C303" s="121"/>
      <x:c r="D303" s="121"/>
      <x:c r="E303" s="121"/>
      <x:c r="F303" s="121"/>
      <x:c r="G303" s="121"/>
      <x:c r="H303" s="121"/>
      <x:c r="I303" s="121"/>
    </x:row>
    <x:row r="304">
      <x:c r="A304" s="121"/>
      <x:c r="B304" s="121"/>
      <x:c r="C304" s="121"/>
      <x:c r="D304" s="121"/>
      <x:c r="E304" s="121"/>
      <x:c r="F304" s="121"/>
      <x:c r="G304" s="121"/>
      <x:c r="H304" s="121"/>
      <x:c r="I304" s="121"/>
    </x:row>
    <x:row r="305">
      <x:c r="A305" s="121"/>
      <x:c r="B305" s="121"/>
      <x:c r="C305" s="121"/>
      <x:c r="D305" s="121"/>
      <x:c r="E305" s="121"/>
      <x:c r="F305" s="121"/>
      <x:c r="G305" s="121"/>
      <x:c r="H305" s="121"/>
      <x:c r="I305" s="121"/>
    </x:row>
    <x:row r="306">
      <x:c r="A306" s="121"/>
      <x:c r="B306" s="121"/>
      <x:c r="C306" s="121"/>
      <x:c r="D306" s="121"/>
      <x:c r="E306" s="121"/>
      <x:c r="F306" s="121"/>
      <x:c r="G306" s="121"/>
      <x:c r="H306" s="121"/>
      <x:c r="I306" s="121"/>
    </x:row>
    <x:row r="307">
      <x:c r="A307" s="121"/>
      <x:c r="B307" s="121"/>
      <x:c r="C307" s="121"/>
      <x:c r="D307" s="121"/>
      <x:c r="E307" s="121"/>
      <x:c r="F307" s="121"/>
      <x:c r="G307" s="121"/>
      <x:c r="H307" s="121"/>
      <x:c r="I307" s="121"/>
    </x:row>
    <x:row r="308">
      <x:c r="A308" s="121"/>
      <x:c r="B308" s="121"/>
      <x:c r="C308" s="121"/>
      <x:c r="D308" s="121"/>
      <x:c r="E308" s="121"/>
      <x:c r="F308" s="121"/>
      <x:c r="G308" s="121"/>
      <x:c r="H308" s="121"/>
      <x:c r="I308" s="121"/>
    </x:row>
    <x:row r="309">
      <x:c r="A309" s="121"/>
      <x:c r="B309" s="121"/>
      <x:c r="C309" s="121"/>
      <x:c r="D309" s="121"/>
      <x:c r="E309" s="121"/>
      <x:c r="F309" s="121"/>
      <x:c r="G309" s="121"/>
      <x:c r="H309" s="121"/>
      <x:c r="I309" s="121"/>
    </x:row>
    <x:row r="310">
      <x:c r="A310" s="121"/>
      <x:c r="B310" s="121"/>
      <x:c r="C310" s="121"/>
      <x:c r="D310" s="121"/>
      <x:c r="E310" s="121"/>
      <x:c r="F310" s="121"/>
      <x:c r="G310" s="121"/>
      <x:c r="H310" s="121"/>
      <x:c r="I310" s="121"/>
    </x:row>
    <x:row r="311">
      <x:c r="A311" s="121"/>
      <x:c r="B311" s="121"/>
      <x:c r="C311" s="121"/>
      <x:c r="D311" s="121"/>
      <x:c r="E311" s="121"/>
      <x:c r="F311" s="121"/>
      <x:c r="G311" s="121"/>
      <x:c r="H311" s="121"/>
      <x:c r="I311" s="121"/>
    </x:row>
    <x:row r="312">
      <x:c r="A312" s="121"/>
      <x:c r="B312" s="121"/>
      <x:c r="C312" s="121"/>
      <x:c r="D312" s="121"/>
      <x:c r="E312" s="121"/>
      <x:c r="F312" s="121"/>
      <x:c r="G312" s="121"/>
      <x:c r="H312" s="121"/>
      <x:c r="I312" s="121"/>
    </x:row>
    <x:row r="313">
      <x:c r="A313" s="121"/>
      <x:c r="B313" s="121"/>
      <x:c r="C313" s="121"/>
      <x:c r="D313" s="121"/>
      <x:c r="E313" s="121"/>
      <x:c r="F313" s="121"/>
      <x:c r="G313" s="121"/>
      <x:c r="H313" s="121"/>
      <x:c r="I313" s="121"/>
    </x:row>
    <x:row r="314">
      <x:c r="A314" s="121"/>
      <x:c r="B314" s="121"/>
      <x:c r="C314" s="121"/>
      <x:c r="D314" s="121"/>
      <x:c r="E314" s="121"/>
      <x:c r="F314" s="121"/>
      <x:c r="G314" s="121"/>
      <x:c r="H314" s="121"/>
      <x:c r="I314" s="121"/>
    </x:row>
    <x:row r="315">
      <x:c r="A315" s="121"/>
      <x:c r="B315" s="121"/>
      <x:c r="C315" s="121"/>
      <x:c r="D315" s="121"/>
      <x:c r="E315" s="121"/>
      <x:c r="F315" s="121"/>
      <x:c r="G315" s="121"/>
      <x:c r="H315" s="121"/>
      <x:c r="I315" s="121"/>
    </x:row>
    <x:row r="316">
      <x:c r="A316" s="121"/>
      <x:c r="B316" s="121"/>
      <x:c r="C316" s="121"/>
      <x:c r="D316" s="121"/>
      <x:c r="E316" s="121"/>
      <x:c r="F316" s="121"/>
      <x:c r="G316" s="121"/>
      <x:c r="H316" s="121"/>
      <x:c r="I316" s="121"/>
    </x:row>
    <x:row r="317">
      <x:c r="A317" s="121"/>
      <x:c r="B317" s="121"/>
      <x:c r="C317" s="121"/>
      <x:c r="D317" s="121"/>
      <x:c r="E317" s="121"/>
      <x:c r="F317" s="121"/>
      <x:c r="G317" s="121"/>
      <x:c r="H317" s="121"/>
      <x:c r="I317" s="121"/>
    </x:row>
  </x:sheetData>
  <x:mergeCells>
    <x:mergeCell ref="A1:I1"/>
    <x:mergeCell ref="A2:I2"/>
  </x:mergeCells>
  <x:dataValidations count="3">
    <x:dataValidation type="list" sqref="D5:D226">
      <x:formula1>'Lists'!$G$5:$G$11</x:formula1>
    </x:dataValidation>
    <x:dataValidation type="list" sqref="E5:E226">
      <x:formula1>'Lists'!$C$5:$C$6</x:formula1>
    </x:dataValidation>
    <x:dataValidation type="list" sqref="I5:I226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4deb83086434355"/>
  </x:tableParts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  <x:col min="36" max="36" width="18" hidden="0" customWidth="1"/>
    <x:col min="37" max="37" width="20" hidden="0" customWidth="1"/>
    <x:col min="38" max="38" width="18" hidden="0" customWidth="1"/>
    <x:col min="39" max="39" width="22" hidden="0" customWidth="1"/>
    <x:col min="40" max="40" width="22" hidden="0" customWidth="1"/>
    <x:col min="41" max="41" width="22" hidden="0" customWidth="1"/>
    <x:col min="42" max="42" width="22" hidden="0" customWidth="1"/>
    <x:col min="43" max="43" width="22" hidden="0" customWidth="1"/>
    <x:col min="44" max="44" width="22" hidden="0" customWidth="1"/>
    <x:col min="45" max="45" width="22" hidden="0" customWidth="1"/>
    <x:col min="46" max="46" width="22" hidden="0" customWidth="1"/>
  </x:cols>
  <x:sheetData>
    <x:row r="1" ht="30" customHeight="1">
      <x:c r="A1" s="3" t="str">
        <x:v>入力候補マスター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</x:row>
    <x:row r="2" ht="34" customHeight="1">
      <x:c r="A2" s="7" t="str">
        <x:v>プルダウンで使う候補です。候補追加は既存列の末尾へ追加してください。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  <x:c r="AF2" s="7"/>
      <x:c r="AG2" s="7"/>
      <x:c r="AH2" s="7"/>
      <x:c r="AI2" s="7"/>
      <x:c r="AJ2" s="7"/>
    </x:row>
    <x:row r="4">
      <x:c r="A4" s="8" t="str">
        <x:v>QualityStatus</x:v>
      </x:c>
      <x:c r="B4" s="8" t="str">
        <x:v>Tier</x:v>
      </x:c>
      <x:c r="C4" s="8" t="str">
        <x:v>Boolean</x:v>
      </x:c>
      <x:c r="D4" s="8" t="str">
        <x:v>EvidenceKind</x:v>
      </x:c>
      <x:c r="E4" s="8" t="str">
        <x:v>RiskSeverity</x:v>
      </x:c>
      <x:c r="F4" s="8" t="str">
        <x:v>RiskStatus</x:v>
      </x:c>
      <x:c r="G4" s="8" t="str">
        <x:v>DataType</x:v>
      </x:c>
      <x:c r="H4" s="8" t="str">
        <x:v>RuleType</x:v>
      </x:c>
      <x:c r="I4" s="8" t="str">
        <x:v>Operator</x:v>
      </x:c>
      <x:c r="J4" s="8" t="str">
        <x:v>Category</x:v>
      </x:c>
      <x:c r="K4" s="8" t="str">
        <x:v>IdentifierType</x:v>
      </x:c>
      <x:c r="L4" s="8" t="str">
        <x:v>Condition</x:v>
      </x:c>
      <x:c r="M4" s="8" t="str">
        <x:v>Region</x:v>
      </x:c>
      <x:c r="N4" s="8" t="str">
        <x:v>Socket</x:v>
      </x:c>
      <x:c r="O4" s="8" t="str">
        <x:v>CoolingClass</x:v>
      </x:c>
      <x:c r="P4" s="8" t="str">
        <x:v>CoolerNoise</x:v>
      </x:c>
      <x:c r="Q4" s="8" t="str">
        <x:v>CoolerTier</x:v>
      </x:c>
      <x:c r="R4" s="8" t="str">
        <x:v>PowerConnector</x:v>
      </x:c>
      <x:c r="S4" s="8" t="str">
        <x:v>MemoryType</x:v>
      </x:c>
      <x:c r="T4" s="8" t="str">
        <x:v>WarrantyClass</x:v>
      </x:c>
      <x:c r="U4" s="8" t="str">
        <x:v>SsdFormFactor</x:v>
      </x:c>
      <x:c r="V4" s="8" t="str">
        <x:v>NandType</x:v>
      </x:c>
      <x:c r="W4" s="8" t="str">
        <x:v>SustainedWriteClass</x:v>
      </x:c>
      <x:c r="X4" s="8" t="str">
        <x:v>ComponentConsistency</x:v>
      </x:c>
      <x:c r="Y4" s="8" t="str">
        <x:v>AtxVersion</x:v>
      </x:c>
      <x:c r="Z4" s="8" t="str">
        <x:v>EfficiencyTier</x:v>
      </x:c>
      <x:c r="AA4" s="8" t="str">
        <x:v>NoiseTier</x:v>
      </x:c>
      <x:c r="AB4" s="8" t="str">
        <x:v>ElectricalTier</x:v>
      </x:c>
      <x:c r="AC4" s="8" t="str">
        <x:v>PsuFormFactor</x:v>
      </x:c>
      <x:c r="AD4" s="8" t="str">
        <x:v>ModularType</x:v>
      </x:c>
      <x:c r="AE4" s="8" t="str">
        <x:v>BoardFormFactor</x:v>
      </x:c>
      <x:c r="AF4" s="8" t="str">
        <x:v>VrmClass</x:v>
      </x:c>
      <x:c r="AG4" s="8" t="str">
        <x:v>LaneSeverity</x:v>
      </x:c>
      <x:c r="AH4" s="8" t="str">
        <x:v>Resolution</x:v>
      </x:c>
      <x:c r="AI4" s="8" t="str">
        <x:v>OvershootClass</x:v>
      </x:c>
      <x:c r="AJ4" s="8" t="str">
        <x:v>PanelType</x:v>
      </x:c>
      <x:c r="AK4" s="172" t="str">
        <x:v>GPUPerformanceClass</x:v>
      </x:c>
      <x:c r="AL4" s="172" t="str">
        <x:v>MinRelativeIndex</x:v>
      </x:c>
      <x:c r="AM4" t="str">
        <x:v>ReleasePrecision</x:v>
      </x:c>
      <x:c r="AN4" t="str">
        <x:v>SlotType</x:v>
      </x:c>
      <x:c r="AO4" t="str">
        <x:v>SlotConnectedTo</x:v>
      </x:c>
      <x:c r="AP4" t="str">
        <x:v>USBLocation</x:v>
      </x:c>
      <x:c r="AQ4" t="str">
        <x:v>USBConnector</x:v>
      </x:c>
      <x:c r="AR4" t="str">
        <x:v>WiFiGeneration</x:v>
      </x:c>
      <x:c r="AS4" t="str">
        <x:v>EccSupport</x:v>
      </x:c>
      <x:c r="AT4" t="str">
        <x:v>MemoryProfile</x:v>
      </x:c>
    </x:row>
    <x:row r="5">
      <x:c r="A5" t="str">
        <x:v>research_required</x:v>
      </x:c>
      <x:c r="B5" t="str">
        <x:v>unrated</x:v>
      </x:c>
      <x:c r="C5" t="str">
        <x:v>TRUE</x:v>
      </x:c>
      <x:c r="D5" t="str">
        <x:v>manufacturer</x:v>
      </x:c>
      <x:c r="E5" t="str">
        <x:v>info</x:v>
      </x:c>
      <x:c r="F5" t="str">
        <x:v>open</x:v>
      </x:c>
      <x:c r="G5" t="str">
        <x:v>string</x:v>
      </x:c>
      <x:c r="H5" t="str">
        <x:v>requirement</x:v>
      </x:c>
      <x:c r="I5" t="str">
        <x:v>eq</x:v>
      </x:c>
      <x:c r="J5" t="str">
        <x:v>cpu</x:v>
      </x:c>
      <x:c r="K5" t="str">
        <x:v>asins</x:v>
      </x:c>
      <x:c r="L5" t="str">
        <x:v>new</x:v>
      </x:c>
      <x:c r="M5" t="str">
        <x:v>JP</x:v>
      </x:c>
      <x:c r="N5" t="str">
        <x:v>AM5</x:v>
      </x:c>
      <x:c r="O5" t="str">
        <x:v>low</x:v>
      </x:c>
      <x:c r="P5" t="str">
        <x:v>quiet</x:v>
      </x:c>
      <x:c r="Q5" t="str">
        <x:v>S</x:v>
      </x:c>
      <x:c r="R5" t="str">
        <x:v>8pin</x:v>
      </x:c>
      <x:c r="S5" t="str">
        <x:v>DDR4</x:v>
      </x:c>
      <x:c r="T5" t="str">
        <x:v>limited_lifetime</x:v>
      </x:c>
      <x:c r="U5" t="str">
        <x:v>M.2 2280</x:v>
      </x:c>
      <x:c r="V5" t="str">
        <x:v>SLC</x:v>
      </x:c>
      <x:c r="W5" t="str">
        <x:v>very_high</x:v>
      </x:c>
      <x:c r="X5" t="str">
        <x:v>high</x:v>
      </x:c>
      <x:c r="Y5" t="str">
        <x:v>2.4</x:v>
      </x:c>
      <x:c r="Z5" t="str">
        <x:v>Bronze</x:v>
      </x:c>
      <x:c r="AA5" t="str">
        <x:v>A++</x:v>
      </x:c>
      <x:c r="AB5" t="str">
        <x:v>S</x:v>
      </x:c>
      <x:c r="AC5" t="str">
        <x:v>ATX</x:v>
      </x:c>
      <x:c r="AD5" t="str">
        <x:v>full_modular</x:v>
      </x:c>
      <x:c r="AE5" t="str">
        <x:v>E-ATX</x:v>
      </x:c>
      <x:c r="AF5" t="str">
        <x:v>entry</x:v>
      </x:c>
      <x:c r="AG5" t="str">
        <x:v>none</x:v>
      </x:c>
      <x:c r="AH5" t="str">
        <x:v>1920x1080</x:v>
      </x:c>
      <x:c r="AI5" t="str">
        <x:v>very_low</x:v>
      </x:c>
      <x:c r="AJ5" t="str">
        <x:v>IPS</x:v>
      </x:c>
      <x:c r="AK5" s="174" t="str">
        <x:v>エントリー</x:v>
      </x:c>
      <x:c r="AL5" s="175" t="n">
        <x:v>0</x:v>
      </x:c>
      <x:c r="AM5" t="str">
        <x:v>exact</x:v>
      </x:c>
      <x:c r="AN5" t="str">
        <x:v>pcie_expansion</x:v>
      </x:c>
      <x:c r="AO5" t="str">
        <x:v>CPU</x:v>
      </x:c>
      <x:c r="AP5" t="str">
        <x:v>rear</x:v>
      </x:c>
      <x:c r="AQ5" t="str">
        <x:v>Type-A</x:v>
      </x:c>
      <x:c r="AR5" t="str">
        <x:v>Wi-Fi 6</x:v>
      </x:c>
      <x:c r="AS5" t="str">
        <x:v>ECC mode</x:v>
      </x:c>
      <x:c r="AT5" t="str">
        <x:v>AMD EXPO</x:v>
      </x:c>
    </x:row>
    <x:row r="6">
      <x:c r="A6" t="str">
        <x:v>approved</x:v>
      </x:c>
      <x:c r="B6" t="str">
        <x:v>C</x:v>
      </x:c>
      <x:c r="C6" t="str">
        <x:v>FALSE</x:v>
      </x:c>
      <x:c r="D6" t="str">
        <x:v>independent_review</x:v>
      </x:c>
      <x:c r="E6" t="str">
        <x:v>low</x:v>
      </x:c>
      <x:c r="F6" t="str">
        <x:v>monitoring</x:v>
      </x:c>
      <x:c r="G6" t="str">
        <x:v>integer</x:v>
      </x:c>
      <x:c r="H6" t="str">
        <x:v>preference</x:v>
      </x:c>
      <x:c r="I6" t="str">
        <x:v>ne</x:v>
      </x:c>
      <x:c r="J6" t="str">
        <x:v>gpu</x:v>
      </x:c>
      <x:c r="K6" t="str">
        <x:v>jan</x:v>
      </x:c>
      <x:c r="L6" t="str">
        <x:v>used</x:v>
      </x:c>
      <x:c r="M6" t="str">
        <x:v>US</x:v>
      </x:c>
      <x:c r="N6" t="str">
        <x:v>AM4</x:v>
      </x:c>
      <x:c r="O6" t="str">
        <x:v>medium</x:v>
      </x:c>
      <x:c r="P6" t="str">
        <x:v>average</x:v>
      </x:c>
      <x:c r="Q6" t="str">
        <x:v>A</x:v>
      </x:c>
      <x:c r="R6" t="str">
        <x:v>2x8pin</x:v>
      </x:c>
      <x:c r="S6" t="str">
        <x:v>DDR5</x:v>
      </x:c>
      <x:c r="T6" t="str">
        <x:v>10_years</x:v>
      </x:c>
      <x:c r="U6" t="str">
        <x:v>M.2 2230</x:v>
      </x:c>
      <x:c r="V6" t="str">
        <x:v>MLC</x:v>
      </x:c>
      <x:c r="W6" t="str">
        <x:v>high</x:v>
      </x:c>
      <x:c r="X6" t="str">
        <x:v>medium</x:v>
      </x:c>
      <x:c r="Y6" t="str">
        <x:v>2.52</x:v>
      </x:c>
      <x:c r="Z6" t="str">
        <x:v>Silver</x:v>
      </x:c>
      <x:c r="AA6" t="str">
        <x:v>A+</x:v>
      </x:c>
      <x:c r="AB6" t="str">
        <x:v>A</x:v>
      </x:c>
      <x:c r="AC6" t="str">
        <x:v>SFX-L</x:v>
      </x:c>
      <x:c r="AD6" t="str">
        <x:v>semi_modular</x:v>
      </x:c>
      <x:c r="AE6" t="str">
        <x:v>ATX</x:v>
      </x:c>
      <x:c r="AF6" t="str">
        <x:v>mainstream</x:v>
      </x:c>
      <x:c r="AG6" t="str">
        <x:v>low</x:v>
      </x:c>
      <x:c r="AH6" t="str">
        <x:v>2560x1440</x:v>
      </x:c>
      <x:c r="AI6" t="str">
        <x:v>low</x:v>
      </x:c>
      <x:c r="AJ6" t="str">
        <x:v>Fast IPS</x:v>
      </x:c>
      <x:c r="AK6" s="174" t="str">
        <x:v>メインストリーム</x:v>
      </x:c>
      <x:c r="AL6" s="175" t="n">
        <x:v>75</x:v>
      </x:c>
      <x:c r="AM6" t="str">
        <x:v>month</x:v>
      </x:c>
      <x:c r="AN6" t="str">
        <x:v>m2_storage</x:v>
      </x:c>
      <x:c r="AO6" t="str">
        <x:v>Chipset</x:v>
      </x:c>
      <x:c r="AP6" t="str">
        <x:v>front_header</x:v>
      </x:c>
      <x:c r="AQ6" t="str">
        <x:v>Type-C</x:v>
      </x:c>
      <x:c r="AR6" t="str">
        <x:v>Wi-Fi 6E</x:v>
      </x:c>
      <x:c r="AS6" t="str">
        <x:v>non-ECC only</x:v>
      </x:c>
      <x:c r="AT6" t="str">
        <x:v>Intel XMP</x:v>
      </x:c>
    </x:row>
    <x:row r="7">
      <x:c r="A7" t="str">
        <x:v>preferred</x:v>
      </x:c>
      <x:c r="B7" t="str">
        <x:v>B</x:v>
      </x:c>
      <x:c r="C7"/>
      <x:c r="D7" t="str">
        <x:v>technical_database</x:v>
      </x:c>
      <x:c r="E7" t="str">
        <x:v>medium</x:v>
      </x:c>
      <x:c r="F7" t="str">
        <x:v>accepted</x:v>
      </x:c>
      <x:c r="G7" t="str">
        <x:v>number</x:v>
      </x:c>
      <x:c r="H7"/>
      <x:c r="I7" t="str">
        <x:v>gte</x:v>
      </x:c>
      <x:c r="J7" t="str">
        <x:v>memory</x:v>
      </x:c>
      <x:c r="K7" t="str">
        <x:v>part_numbers</x:v>
      </x:c>
      <x:c r="L7" t="str">
        <x:v>refurbished</x:v>
      </x:c>
      <x:c r="M7" t="str">
        <x:v>EU</x:v>
      </x:c>
      <x:c r="N7" t="str">
        <x:v>LGA1851</x:v>
      </x:c>
      <x:c r="O7" t="str">
        <x:v>high</x:v>
      </x:c>
      <x:c r="P7" t="str">
        <x:v>loud</x:v>
      </x:c>
      <x:c r="Q7" t="str">
        <x:v>B</x:v>
      </x:c>
      <x:c r="R7" t="str">
        <x:v>3x8pin</x:v>
      </x:c>
      <x:c r="S7"/>
      <x:c r="T7" t="str">
        <x:v>5_years</x:v>
      </x:c>
      <x:c r="U7" t="str">
        <x:v>2.5-inch</x:v>
      </x:c>
      <x:c r="V7" t="str">
        <x:v>TLC</x:v>
      </x:c>
      <x:c r="W7" t="str">
        <x:v>medium</x:v>
      </x:c>
      <x:c r="X7" t="str">
        <x:v>low</x:v>
      </x:c>
      <x:c r="Y7" t="str">
        <x:v>3.0</x:v>
      </x:c>
      <x:c r="Z7" t="str">
        <x:v>Gold</x:v>
      </x:c>
      <x:c r="AA7" t="str">
        <x:v>A</x:v>
      </x:c>
      <x:c r="AB7" t="str">
        <x:v>B</x:v>
      </x:c>
      <x:c r="AC7" t="str">
        <x:v>SFX</x:v>
      </x:c>
      <x:c r="AD7" t="str">
        <x:v>non_modular</x:v>
      </x:c>
      <x:c r="AE7" t="str">
        <x:v>Micro-ATX</x:v>
      </x:c>
      <x:c r="AF7" t="str">
        <x:v>high_end</x:v>
      </x:c>
      <x:c r="AG7" t="str">
        <x:v>medium</x:v>
      </x:c>
      <x:c r="AH7" t="str">
        <x:v>3440x1440</x:v>
      </x:c>
      <x:c r="AI7" t="str">
        <x:v>medium</x:v>
      </x:c>
      <x:c r="AJ7" t="str">
        <x:v>Nano IPS</x:v>
      </x:c>
      <x:c r="AK7" s="174" t="str">
        <x:v>ミドルレンジ</x:v>
      </x:c>
      <x:c r="AL7" s="175" t="n">
        <x:v>110</x:v>
      </x:c>
      <x:c r="AM7" t="str">
        <x:v>quarter</x:v>
      </x:c>
      <x:c r="AN7"/>
      <x:c r="AO7" t="str">
        <x:v>CPU/Chipset</x:v>
      </x:c>
      <x:c r="AP7"/>
      <x:c r="AQ7"/>
      <x:c r="AR7" t="str">
        <x:v>Wi-Fi 7</x:v>
      </x:c>
      <x:c r="AS7" t="str">
        <x:v>ECC DIMM accepted in non-ECC mode</x:v>
      </x:c>
      <x:c r="AT7" t="str">
        <x:v>Intel XMP 3.0</x:v>
      </x:c>
    </x:row>
    <x:row r="8">
      <x:c r="A8" t="str">
        <x:v>rejected</x:v>
      </x:c>
      <x:c r="B8" t="str">
        <x:v>A</x:v>
      </x:c>
      <x:c r="C8"/>
      <x:c r="D8" t="str">
        <x:v>retailer</x:v>
      </x:c>
      <x:c r="E8" t="str">
        <x:v>high</x:v>
      </x:c>
      <x:c r="F8" t="str">
        <x:v>resolved</x:v>
      </x:c>
      <x:c r="G8" t="str">
        <x:v>boolean</x:v>
      </x:c>
      <x:c r="H8"/>
      <x:c r="I8" t="str">
        <x:v>gt</x:v>
      </x:c>
      <x:c r="J8" t="str">
        <x:v>ssd</x:v>
      </x:c>
      <x:c r="K8" t="str">
        <x:v>kakaku_ids</x:v>
      </x:c>
      <x:c r="L8" t="str">
        <x:v>open_box</x:v>
      </x:c>
      <x:c r="M8" t="str">
        <x:v>global</x:v>
      </x:c>
      <x:c r="N8" t="str">
        <x:v>LGA1700</x:v>
      </x:c>
      <x:c r="O8" t="str">
        <x:v>very_high</x:v>
      </x:c>
      <x:c r="P8" t="str">
        <x:v>unknown</x:v>
      </x:c>
      <x:c r="Q8" t="str">
        <x:v>C</x:v>
      </x:c>
      <x:c r="R8" t="str">
        <x:v>12VHPWR</x:v>
      </x:c>
      <x:c r="S8"/>
      <x:c r="T8" t="str">
        <x:v>3_years</x:v>
      </x:c>
      <x:c r="U8" t="str">
        <x:v>U.2</x:v>
      </x:c>
      <x:c r="V8" t="str">
        <x:v>QLC</x:v>
      </x:c>
      <x:c r="W8" t="str">
        <x:v>low</x:v>
      </x:c>
      <x:c r="X8" t="str">
        <x:v>unverified</x:v>
      </x:c>
      <x:c r="Y8" t="str">
        <x:v>3.1</x:v>
      </x:c>
      <x:c r="Z8" t="str">
        <x:v>Platinum</x:v>
      </x:c>
      <x:c r="AA8" t="str">
        <x:v>B</x:v>
      </x:c>
      <x:c r="AB8" t="str">
        <x:v>C</x:v>
      </x:c>
      <x:c r="AC8"/>
      <x:c r="AD8"/>
      <x:c r="AE8" t="str">
        <x:v>Mini-ITX</x:v>
      </x:c>
      <x:c r="AF8"/>
      <x:c r="AG8" t="str">
        <x:v>high</x:v>
      </x:c>
      <x:c r="AH8" t="str">
        <x:v>3840x2160</x:v>
      </x:c>
      <x:c r="AI8" t="str">
        <x:v>high</x:v>
      </x:c>
      <x:c r="AJ8" t="str">
        <x:v>VA</x:v>
      </x:c>
      <x:c r="AK8" s="174" t="str">
        <x:v>ハイエンド</x:v>
      </x:c>
      <x:c r="AL8" s="175" t="n">
        <x:v>140</x:v>
      </x:c>
      <x:c r="AM8" t="str">
        <x:v>unknown</x:v>
      </x:c>
      <x:c r="AN8"/>
      <x:c r="AO8"/>
      <x:c r="AP8"/>
      <x:c r="AQ8"/>
      <x:c r="AR8"/>
      <x:c r="AS8"/>
      <x:c r="AT8"/>
    </x:row>
    <x:row r="9">
      <x:c r="A9" t="str">
        <x:v>discontinued</x:v>
      </x:c>
      <x:c r="B9" t="str">
        <x:v>S</x:v>
      </x:c>
      <x:c r="C9"/>
      <x:c r="D9" t="str">
        <x:v>user_report</x:v>
      </x:c>
      <x:c r="E9" t="str">
        <x:v>critical</x:v>
      </x:c>
      <x:c r="F9"/>
      <x:c r="G9" t="str">
        <x:v>date</x:v>
      </x:c>
      <x:c r="H9"/>
      <x:c r="I9" t="str">
        <x:v>lte</x:v>
      </x:c>
      <x:c r="J9" t="str">
        <x:v>psu</x:v>
      </x:c>
      <x:c r="K9" t="str">
        <x:v>ean</x:v>
      </x:c>
      <x:c r="L9" t="str">
        <x:v>unknown</x:v>
      </x:c>
      <x:c r="M9" t="str">
        <x:v>unknown</x:v>
      </x:c>
      <x:c r="N9"/>
      <x:c r="O9"/>
      <x:c r="P9"/>
      <x:c r="Q9" t="str">
        <x:v>unrated</x:v>
      </x:c>
      <x:c r="R9" t="str">
        <x:v>12V-2x6</x:v>
      </x:c>
      <x:c r="S9"/>
      <x:c r="T9" t="str">
        <x:v>other</x:v>
      </x:c>
      <x:c r="U9"/>
      <x:c r="V9" t="str">
        <x:v>unknown</x:v>
      </x:c>
      <x:c r="W9" t="str">
        <x:v>unknown</x:v>
      </x:c>
      <x:c r="X9"/>
      <x:c r="Y9"/>
      <x:c r="Z9" t="str">
        <x:v>Titanium</x:v>
      </x:c>
      <x:c r="AA9" t="str">
        <x:v>C</x:v>
      </x:c>
      <x:c r="AB9" t="str">
        <x:v>unrated</x:v>
      </x:c>
      <x:c r="AC9"/>
      <x:c r="AD9"/>
      <x:c r="AE9"/>
      <x:c r="AF9"/>
      <x:c r="AG9" t="str">
        <x:v>unknown</x:v>
      </x:c>
      <x:c r="AH9"/>
      <x:c r="AI9" t="str">
        <x:v>unknown</x:v>
      </x:c>
      <x:c r="AJ9" t="str">
        <x:v>TN</x:v>
      </x:c>
      <x:c r="AK9" s="174" t="str">
        <x:v>フラッグシップ</x:v>
      </x:c>
      <x:c r="AL9" s="175" t="n">
        <x:v>170</x:v>
      </x:c>
      <x:c r="AM9"/>
      <x:c r="AN9"/>
      <x:c r="AO9"/>
      <x:c r="AP9"/>
      <x:c r="AQ9"/>
      <x:c r="AR9"/>
      <x:c r="AS9"/>
      <x:c r="AT9"/>
    </x:row>
    <x:row r="10">
      <x:c r="A10"/>
      <x:c r="B10"/>
      <x:c r="C10"/>
      <x:c r="D10"/>
      <x:c r="E10"/>
      <x:c r="F10"/>
      <x:c r="G10" t="str">
        <x:v>string_list</x:v>
      </x:c>
      <x:c r="H10"/>
      <x:c r="I10" t="str">
        <x:v>lt</x:v>
      </x:c>
      <x:c r="J10" t="str">
        <x:v>motherboard</x:v>
      </x:c>
      <x:c r="K10" t="str">
        <x:v>upc</x:v>
      </x:c>
      <x:c r="L10"/>
      <x:c r="M10"/>
      <x:c r="N10"/>
      <x:c r="O10"/>
      <x:c r="P10"/>
      <x:c r="Q10"/>
      <x:c r="R10" t="str">
        <x:v>16pin</x:v>
      </x:c>
      <x:c r="S10"/>
      <x:c r="T10"/>
      <x:c r="U10"/>
      <x:c r="V10"/>
      <x:c r="W10"/>
      <x:c r="X10"/>
      <x:c r="Y10"/>
      <x:c r="Z10"/>
      <x:c r="AA10" t="str">
        <x:v>unrated</x:v>
      </x:c>
      <x:c r="AB10"/>
      <x:c r="AC10"/>
      <x:c r="AD10"/>
      <x:c r="AE10"/>
      <x:c r="AF10"/>
      <x:c r="AG10"/>
      <x:c r="AH10"/>
      <x:c r="AI10"/>
      <x:c r="AJ10" t="str">
        <x:v>OLED</x:v>
      </x:c>
      <x:c r="AM10"/>
      <x:c r="AN10"/>
      <x:c r="AO10"/>
      <x:c r="AP10"/>
      <x:c r="AQ10"/>
      <x:c r="AR10"/>
      <x:c r="AS10"/>
      <x:c r="AT10"/>
    </x:row>
    <x:row r="11">
      <x:c r="A11"/>
      <x:c r="B11"/>
      <x:c r="C11"/>
      <x:c r="D11"/>
      <x:c r="E11"/>
      <x:c r="F11"/>
      <x:c r="G11" t="str">
        <x:v>json</x:v>
      </x:c>
      <x:c r="H11"/>
      <x:c r="I11" t="str">
        <x:v>in</x:v>
      </x:c>
      <x:c r="J11" t="str">
        <x:v>monitor</x:v>
      </x:c>
      <x:c r="K11" t="str">
        <x:v>sku</x:v>
      </x:c>
      <x:c r="L11"/>
      <x:c r="M11"/>
      <x:c r="N11"/>
      <x:c r="O11"/>
      <x:c r="P11"/>
      <x:c r="Q11"/>
      <x:c r="R11" t="str">
        <x:v>8pin+6pin</x:v>
      </x:c>
      <x:c r="S11"/>
      <x:c r="T11"/>
      <x:c r="U11"/>
      <x:c r="V11"/>
      <x:c r="W11"/>
      <x:c r="X11"/>
      <x:c r="Y11"/>
      <x:c r="Z11"/>
      <x:c r="AA11"/>
      <x:c r="AB11"/>
      <x:c r="AC11"/>
      <x:c r="AD11"/>
      <x:c r="AE11"/>
      <x:c r="AF11"/>
      <x:c r="AG11"/>
      <x:c r="AH11"/>
      <x:c r="AI11"/>
      <x:c r="AJ11" t="str">
        <x:v>QD-OLED</x:v>
      </x:c>
      <x:c r="AM11"/>
      <x:c r="AN11"/>
      <x:c r="AO11"/>
      <x:c r="AP11"/>
      <x:c r="AQ11"/>
      <x:c r="AR11"/>
      <x:c r="AS11"/>
      <x:c r="AT11"/>
    </x:row>
    <x:row r="12">
      <x:c r="A12"/>
      <x:c r="B12"/>
      <x:c r="C12"/>
      <x:c r="D12"/>
      <x:c r="E12"/>
      <x:c r="F12"/>
      <x:c r="G12"/>
      <x:c r="H12"/>
      <x:c r="I12" t="str">
        <x:v>not_in</x:v>
      </x:c>
      <x:c r="J12"/>
      <x:c r="K12"/>
      <x:c r="L12"/>
      <x:c r="M12"/>
      <x:c r="N12"/>
      <x:c r="O12"/>
      <x:c r="P12"/>
      <x:c r="Q12"/>
      <x:c r="R12" t="str">
        <x:v>2x8pin+6pin</x:v>
      </x:c>
      <x:c r="S12"/>
      <x:c r="T12"/>
      <x:c r="U12"/>
      <x:c r="V12"/>
      <x:c r="W12"/>
      <x:c r="X12"/>
      <x:c r="Y12"/>
      <x:c r="Z12"/>
      <x:c r="AA12"/>
      <x:c r="AB12"/>
      <x:c r="AC12"/>
      <x:c r="AD12"/>
      <x:c r="AE12"/>
      <x:c r="AF12"/>
      <x:c r="AG12"/>
      <x:c r="AH12"/>
      <x:c r="AI12"/>
      <x:c r="AJ12" t="str">
        <x:v>Mini LED IPS</x:v>
      </x:c>
      <x:c r="AM12"/>
      <x:c r="AN12"/>
      <x:c r="AO12"/>
      <x:c r="AP12"/>
      <x:c r="AQ12"/>
      <x:c r="AR12"/>
      <x:c r="AS12"/>
      <x:c r="AT12"/>
    </x:row>
    <x:row r="13">
      <x:c r="A13"/>
      <x:c r="B13"/>
      <x:c r="C13"/>
      <x:c r="D13"/>
      <x:c r="E13"/>
      <x:c r="F13"/>
      <x:c r="G13"/>
      <x:c r="H13"/>
      <x:c r="I13" t="str">
        <x:v>contains</x:v>
      </x:c>
      <x:c r="J13"/>
      <x:c r="K13"/>
      <x:c r="L13"/>
      <x:c r="M13"/>
      <x:c r="N13"/>
      <x:c r="O13"/>
      <x:c r="P13"/>
      <x:c r="Q13"/>
      <x:c r="R13" t="str">
        <x:v>none</x:v>
      </x:c>
      <x:c r="S13"/>
      <x:c r="T13"/>
      <x:c r="U13"/>
      <x:c r="V13"/>
      <x:c r="W13"/>
      <x:c r="X13"/>
      <x:c r="Y13"/>
      <x:c r="Z13"/>
      <x:c r="AA13"/>
      <x:c r="AB13"/>
      <x:c r="AC13"/>
      <x:c r="AD13"/>
      <x:c r="AE13"/>
      <x:c r="AF13"/>
      <x:c r="AG13"/>
      <x:c r="AH13"/>
      <x:c r="AI13"/>
      <x:c r="AJ13"/>
      <x:c r="AM13"/>
      <x:c r="AN13"/>
      <x:c r="AO13"/>
      <x:c r="AP13"/>
      <x:c r="AQ13"/>
      <x:c r="AR13"/>
      <x:c r="AS13"/>
      <x:c r="AT13"/>
    </x:row>
    <x:row r="14">
      <x:c r="A14"/>
      <x:c r="B14"/>
      <x:c r="C14"/>
      <x:c r="D14"/>
      <x:c r="E14"/>
      <x:c r="F14"/>
      <x:c r="G14"/>
      <x:c r="H14"/>
      <x:c r="I14" t="str">
        <x:v>intersects</x:v>
      </x:c>
      <x:c r="J14"/>
      <x:c r="K14"/>
      <x:c r="L14"/>
      <x:c r="M14"/>
      <x:c r="N14"/>
      <x:c r="O14"/>
      <x:c r="P14"/>
      <x:c r="Q14"/>
      <x:c r="R14"/>
      <x:c r="S14"/>
      <x:c r="T14"/>
      <x:c r="U14"/>
      <x:c r="V14"/>
      <x:c r="W14"/>
      <x:c r="X14"/>
      <x:c r="Y14"/>
      <x:c r="Z14"/>
      <x:c r="AA14"/>
      <x:c r="AB14"/>
      <x:c r="AC14"/>
      <x:c r="AD14"/>
      <x:c r="AE14"/>
      <x:c r="AF14"/>
      <x:c r="AG14"/>
      <x:c r="AH14"/>
      <x:c r="AI14"/>
      <x:c r="AJ14"/>
      <x:c r="AM14"/>
      <x:c r="AN14"/>
      <x:c r="AO14"/>
      <x:c r="AP14"/>
      <x:c r="AQ14"/>
      <x:c r="AR14"/>
      <x:c r="AS14"/>
      <x:c r="AT14"/>
    </x:row>
    <x:row r="15">
      <x:c r="A15"/>
      <x:c r="B15"/>
      <x:c r="C15"/>
      <x:c r="D15"/>
      <x:c r="E15"/>
      <x:c r="F15"/>
      <x:c r="G15"/>
      <x:c r="H15"/>
      <x:c r="I15" t="str">
        <x:v>exists</x:v>
      </x:c>
      <x:c r="J15"/>
      <x:c r="K15"/>
      <x:c r="L15"/>
      <x:c r="M15"/>
      <x:c r="N15"/>
      <x:c r="O15"/>
      <x:c r="P15"/>
      <x:c r="Q15"/>
      <x:c r="R15"/>
      <x:c r="S15"/>
      <x:c r="T15"/>
      <x:c r="U15"/>
      <x:c r="V15"/>
      <x:c r="W15"/>
      <x:c r="X15"/>
      <x:c r="Y15"/>
      <x:c r="Z15"/>
      <x:c r="AA15"/>
      <x:c r="AB15"/>
      <x:c r="AC15"/>
      <x:c r="AD15"/>
      <x:c r="AE15"/>
      <x:c r="AF15"/>
      <x:c r="AG15"/>
      <x:c r="AH15"/>
      <x:c r="AI15"/>
      <x:c r="AJ15"/>
      <x:c r="AM15"/>
      <x:c r="AN15"/>
      <x:c r="AO15"/>
      <x:c r="AP15"/>
      <x:c r="AQ15"/>
      <x:c r="AR15"/>
      <x:c r="AS15"/>
      <x:c r="AT15"/>
    </x:row>
  </x:sheetData>
  <x:mergeCells>
    <x:mergeCell ref="A1:AJ1"/>
    <x:mergeCell ref="A2:AJ2"/>
  </x:mergeCells>
  <x:pageMargins left="0.7" right="0.7" top="0.75" bottom="0.75" header="0.3" footer="0.3"/>
  <x:tableParts count="1">
    <x:tablePart xmlns:r="http://schemas.openxmlformats.org/officeDocument/2006/relationships" r:id="Ra6279d31decd4ea0"/>
  </x:tableParts>
</x:worksheet>
</file>